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Chaparro\Mai Shop_backup_2\docs\"/>
    </mc:Choice>
  </mc:AlternateContent>
  <xr:revisionPtr revIDLastSave="0" documentId="8_{6E903398-DBBC-4EF2-9DE9-02BCCF1F31DA}" xr6:coauthVersionLast="47" xr6:coauthVersionMax="47" xr10:uidLastSave="{00000000-0000-0000-0000-000000000000}"/>
  <bookViews>
    <workbookView xWindow="-104" yWindow="-104" windowWidth="22326" windowHeight="11947" tabRatio="1000" xr2:uid="{00000000-000D-0000-FFFF-FFFF00000000}"/>
  </bookViews>
  <sheets>
    <sheet name="Paginación" sheetId="18" r:id="rId1"/>
    <sheet name="BD" sheetId="1" r:id="rId2"/>
    <sheet name="Landing" sheetId="2" r:id="rId3"/>
    <sheet name="Login" sheetId="19" r:id="rId4"/>
    <sheet name="Cierre de sesión" sheetId="3" r:id="rId5"/>
    <sheet name="Recuperar Contraseña" sheetId="20" r:id="rId6"/>
    <sheet name="Cambiar Contraseña" sheetId="4" r:id="rId7"/>
    <sheet name="Dashboard ADMIN" sheetId="5" r:id="rId8"/>
    <sheet name="Dashboard PEDIDOS" sheetId="6" r:id="rId9"/>
    <sheet name="Dashboard PRODUCTOS" sheetId="7" r:id="rId10"/>
    <sheet name="Dashboard VENDEDORES" sheetId="8" r:id="rId11"/>
    <sheet name="Dashboard COMISIONES" sheetId="9" r:id="rId12"/>
    <sheet name="Dashboard REPORTES" sheetId="11" r:id="rId13"/>
    <sheet name="Dashboard CONFIG" sheetId="12" r:id="rId14"/>
    <sheet name="Vendedor INICIO" sheetId="21" r:id="rId15"/>
    <sheet name="Vendedor PRODUCTOS" sheetId="15" r:id="rId16"/>
    <sheet name="Vendedor NUEVO PEDIDO" sheetId="16" r:id="rId17"/>
    <sheet name="Vendedor MIS PEDIDOS" sheetId="17" r:id="rId18"/>
    <sheet name="Vendedor COMISIONES" sheetId="2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8" l="1"/>
  <c r="B4" i="18" s="1"/>
  <c r="I27" i="18"/>
  <c r="I26" i="18"/>
  <c r="I25" i="18"/>
  <c r="I24" i="18"/>
  <c r="I23" i="18"/>
  <c r="I22" i="18"/>
  <c r="I21" i="18"/>
  <c r="I20" i="18"/>
  <c r="I19" i="18"/>
  <c r="I18" i="18"/>
  <c r="I17" i="18"/>
  <c r="D1" i="22"/>
  <c r="D1" i="21"/>
  <c r="I15" i="18"/>
  <c r="D15" i="18"/>
  <c r="F15" i="18" s="1"/>
  <c r="D1" i="20"/>
  <c r="I13" i="18"/>
  <c r="I12" i="18"/>
  <c r="D12" i="18"/>
  <c r="F12" i="18" s="1"/>
  <c r="D1" i="19"/>
  <c r="D27" i="18"/>
  <c r="F27" i="18" s="1"/>
  <c r="D1" i="17"/>
  <c r="D1" i="16"/>
  <c r="D1" i="15"/>
  <c r="D1" i="12"/>
  <c r="D1" i="11"/>
  <c r="D1" i="9"/>
  <c r="D1" i="8"/>
  <c r="D1" i="7"/>
  <c r="D1" i="6"/>
  <c r="D1" i="5"/>
  <c r="D1" i="4"/>
  <c r="D1" i="3"/>
  <c r="D1" i="2"/>
  <c r="D1" i="1"/>
  <c r="I10" i="18"/>
  <c r="I11" i="18"/>
  <c r="I14" i="18"/>
  <c r="I16" i="18"/>
  <c r="H29" i="18"/>
  <c r="G29" i="18"/>
  <c r="E29" i="18"/>
  <c r="C29" i="18"/>
  <c r="B5" i="18" s="1"/>
  <c r="D26" i="18"/>
  <c r="F26" i="18" s="1"/>
  <c r="D25" i="18"/>
  <c r="F25" i="18" s="1"/>
  <c r="D24" i="18"/>
  <c r="F24" i="18" s="1"/>
  <c r="D23" i="18"/>
  <c r="F23" i="18" s="1"/>
  <c r="D22" i="18"/>
  <c r="F22" i="18" s="1"/>
  <c r="D21" i="18"/>
  <c r="F21" i="18" s="1"/>
  <c r="D20" i="18"/>
  <c r="F20" i="18" s="1"/>
  <c r="D19" i="18"/>
  <c r="F19" i="18" s="1"/>
  <c r="D18" i="18"/>
  <c r="F18" i="18" s="1"/>
  <c r="D17" i="18"/>
  <c r="F17" i="18" s="1"/>
  <c r="D16" i="18"/>
  <c r="F16" i="18" s="1"/>
  <c r="D14" i="18"/>
  <c r="F14" i="18" s="1"/>
  <c r="D13" i="18"/>
  <c r="F13" i="18" s="1"/>
  <c r="D11" i="18"/>
  <c r="F11" i="18" s="1"/>
  <c r="D10" i="18"/>
  <c r="F10" i="18" s="1"/>
  <c r="B6" i="18" l="1"/>
  <c r="D29" i="18"/>
  <c r="F29" i="18" s="1"/>
  <c r="B7" i="18" s="1"/>
</calcChain>
</file>

<file path=xl/sharedStrings.xml><?xml version="1.0" encoding="utf-8"?>
<sst xmlns="http://schemas.openxmlformats.org/spreadsheetml/2006/main" count="4448" uniqueCount="1990">
  <si>
    <t>MÓDULO LANDING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</si>
  <si>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</si>
  <si>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</si>
  <si>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</si>
  <si>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</si>
  <si>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</si>
  <si>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</si>
  <si>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</si>
  <si>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</si>
  <si>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</si>
  <si>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</si>
  <si>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REQUERIMIENTOS FUNCIONALES</t>
  </si>
  <si>
    <t>X</t>
  </si>
  <si>
    <t>x</t>
  </si>
  <si>
    <t>REQUERIMIENTOS NO FUNCIONALES</t>
  </si>
  <si>
    <t>MODULO LOGIN</t>
  </si>
  <si>
    <t xml:space="preserve"> </t>
  </si>
  <si>
    <t>El sistema debe proteger el acceso al módulo mediante autenticación.</t>
  </si>
  <si>
    <t>El sistema debe permitir seleccionar el método de pago.</t>
  </si>
  <si>
    <t>El sistema debe validar que el correo electrónico tenga un formato válido.</t>
  </si>
  <si>
    <t>PAGINACIÓN Y RESUMEN DE REQUERIMIENTOS</t>
  </si>
  <si>
    <t>Requerimientos funcionales</t>
  </si>
  <si>
    <t>Requerimientos no funcionales</t>
  </si>
  <si>
    <t>Requerimientos totales</t>
  </si>
  <si>
    <t>% de cumplimiento</t>
  </si>
  <si>
    <t>Módulo / Vista</t>
  </si>
  <si>
    <t>Funcionales</t>
  </si>
  <si>
    <t>No funcionales</t>
  </si>
  <si>
    <t>Total</t>
  </si>
  <si>
    <t>Marcados SI</t>
  </si>
  <si>
    <t>% cumplimiento</t>
  </si>
  <si>
    <t>BD</t>
  </si>
  <si>
    <t>Landing</t>
  </si>
  <si>
    <t>Login</t>
  </si>
  <si>
    <t>Recuperar Contraseña</t>
  </si>
  <si>
    <t>Dashboard ADMIN</t>
  </si>
  <si>
    <t>TOTAL GENERAL</t>
  </si>
  <si>
    <t>Redirigir</t>
  </si>
  <si>
    <t>_-</t>
  </si>
  <si>
    <t>Cierre de Sesión</t>
  </si>
  <si>
    <t>Cambiar Contraseña</t>
  </si>
  <si>
    <t>El sistema debe mostrar un campo para ingresar la nueva contraseña.</t>
  </si>
  <si>
    <t>El sistema debe mostrar un campo para confirmar la nueva contraseña.</t>
  </si>
  <si>
    <t>MÓDULO BASE DE DATOS</t>
  </si>
  <si>
    <t>MODULO CIERRE SESIÓN</t>
  </si>
  <si>
    <t>MÓDULO RECUPERAR CONTRASEÑA</t>
  </si>
  <si>
    <t>MÓDULO CAMBIAR CONTRASEÑA</t>
  </si>
  <si>
    <t>MÓDULO DASHBOARD ADMIN</t>
  </si>
  <si>
    <t>Consolidado general de requerimientos del archivo REQUERIMIENTOS MAICONNECT V.2</t>
  </si>
  <si>
    <t>El sistema debe permitir visualizar un menú de navegación superior con las opciones Inicio, Nosotros, Productos y Contacto.</t>
  </si>
  <si>
    <t>El sistema debe permitir que el usuario navegue a las diferentes secciones de la página desde el menú principal.</t>
  </si>
  <si>
    <t>El sistema debe mostrar un botón de Iniciar sesión en la parte superior de la landing.</t>
  </si>
  <si>
    <t>El sistema debe permitir redirigir al usuario al módulo de inicio de sesión al presionar el botón Iniciar sesión.</t>
  </si>
  <si>
    <t>El sistema debe mostrar el logotipo de Mai Shop en la sección principal de la página.</t>
  </si>
  <si>
    <t>El sistema debe mostrar una sección inicial tipo portada con imagen de fondo relacionada con productos de repostería.</t>
  </si>
  <si>
    <t>El sistema debe mostrar un mensaje principal de bienvenida o presentación de la marca.</t>
  </si>
  <si>
    <t>El sistema debe mostrar un texto descriptivo que comunique la propuesta de valor de Mai Shop.</t>
  </si>
  <si>
    <t>El sistema debe incluir un botón de llamada a la acción para explorar el menú.</t>
  </si>
  <si>
    <t>El sistema debe permitir que el botón Explorar el menú dirija al usuario a la sección de productos.</t>
  </si>
  <si>
    <t>El sistema debe mostrar una sección de beneficios o características principales del negocio.</t>
  </si>
  <si>
    <t>El sistema debe mostrar el beneficio de Calidad Premium.</t>
  </si>
  <si>
    <t>El sistema debe mostrar el beneficio de Hecho con Amor.</t>
  </si>
  <si>
    <t>El sistema debe mostrar el beneficio de Entrega Rápida.</t>
  </si>
  <si>
    <t>El sistema debe mostrar el beneficio de Diseños Únicos.</t>
  </si>
  <si>
    <t>El sistema debe mostrar íconos representativos para cada beneficio de la marca.</t>
  </si>
  <si>
    <t>El sistema debe mostrar una sección informativa llamada Quiénes Somos.</t>
  </si>
  <si>
    <t>El sistema debe presentar información sobre la historia, experiencia y propósito de Mai Shop.</t>
  </si>
  <si>
    <t>El sistema debe mostrar una imagen representativa en la sección de presentación de la empresa.</t>
  </si>
  <si>
    <t>El sistema debe mostrar indicadores numéricos relacionados con clientes, productos y satisfacción.</t>
  </si>
  <si>
    <t>El sistema debe mostrar la cantidad aproximada de clientes felices.</t>
  </si>
  <si>
    <t>El sistema debe mostrar la cantidad aproximada de productos creados.</t>
  </si>
  <si>
    <t>El sistema debe mostrar el porcentaje de satisfacción del negocio.</t>
  </si>
  <si>
    <t>El sistema debe mostrar una sección de productos llamada Delicias Artesanales.</t>
  </si>
  <si>
    <t>El sistema debe presentar productos disponibles mediante tarjetas visuales.</t>
  </si>
  <si>
    <t>El sistema debe mostrar una imagen para cada producto.</t>
  </si>
  <si>
    <t>El sistema debe mostrar el nombre de cada producto.</t>
  </si>
  <si>
    <t>El sistema debe mostrar una descripción breve de cada producto.</t>
  </si>
  <si>
    <t>El sistema debe mostrar el precio de cada producto.</t>
  </si>
  <si>
    <t>El sistema debe permitir visualizar productos como tortas personalizadas, cupcakes gourmet, galletas decoradas, brownies, cheesecake y alfajores.</t>
  </si>
  <si>
    <t>El sistema debe organizar los productos en una cuadrícula visual.</t>
  </si>
  <si>
    <t>El sistema debe mostrar una sección de testimonios de clientes.</t>
  </si>
  <si>
    <t>El sistema debe presentar opiniones de clientes sobre los productos o servicios de Mai Shop.</t>
  </si>
  <si>
    <t>El sistema debe mostrar una calificación visual mediante estrellas en los testimonios.</t>
  </si>
  <si>
    <t>El sistema debe mostrar el nombre del cliente que realiza el testimonio.</t>
  </si>
  <si>
    <t>El sistema debe mostrar una descripción corta del tipo de cliente o relación con la marca.</t>
  </si>
  <si>
    <t>El sistema debe mostrar una sección de contacto para que el usuario pueda comunicarse con Mai Shop.</t>
  </si>
  <si>
    <t>El sistema debe mostrar el número telefónico del negocio.</t>
  </si>
  <si>
    <t>El sistema debe mostrar el correo electrónico de contacto.</t>
  </si>
  <si>
    <t>El sistema debe mostrar la ubicación del negocio.</t>
  </si>
  <si>
    <t>El sistema debe mostrar el horario de atención.</t>
  </si>
  <si>
    <t>El sistema debe incluir un llamado a la acción para realizar pedidos.</t>
  </si>
  <si>
    <t>El sistema debe mostrar una tarjeta destacada para contactar por WhatsApp.</t>
  </si>
  <si>
    <t>El sistema debe permitir acceder a WhatsApp desde la sección de contacto.</t>
  </si>
  <si>
    <t>El sistema debe mostrar enlaces o íconos de redes sociales.</t>
  </si>
  <si>
    <t>El sistema debe permitir acceder a las redes sociales desde los íconos correspondientes.</t>
  </si>
  <si>
    <t>El sistema debe mostrar un pie de página con información general de la empresa.</t>
  </si>
  <si>
    <t>El sistema debe mostrar enlaces rápidos en el pie de página.</t>
  </si>
  <si>
    <t>El sistema debe permitir navegar desde el footer hacia las secciones principales de la landing.</t>
  </si>
  <si>
    <t>El sistema debe mostrar información de contacto también en el pie de página.</t>
  </si>
  <si>
    <t>El sistema debe mostrar los derechos reservados de Mai Shop.</t>
  </si>
  <si>
    <t>El sistema debe mostrar información del desarrollador o autor del sitio.</t>
  </si>
  <si>
    <t>El sistema debe incluir un botón flotante para volver al inicio de la página.</t>
  </si>
  <si>
    <t>El sistema debe permitir que el botón flotante superior desplace al usuario hacia la parte inicial de la landing.</t>
  </si>
  <si>
    <t>El sistema debe incluir un botón flotante de WhatsApp para contacto rápido.</t>
  </si>
  <si>
    <t>El sistema debe permitir al usuario iniciar una conversación por WhatsApp desde cualquier parte de la página.</t>
  </si>
  <si>
    <t>El sistema debe mantener visibles las secciones principales de la landing en una sola página desplazable.</t>
  </si>
  <si>
    <t>El sistema debe presentar la información del negocio de forma ordenada por secciones.</t>
  </si>
  <si>
    <t>El sistema debe permitir que un visitante conozca los productos, precios, contacto y propuesta de valor sin necesidad de iniciar sesión.</t>
  </si>
  <si>
    <t>El sistema debe mostrar contenido promocional orientado a captar clientes.</t>
  </si>
  <si>
    <t>El sistema debe diferenciar visualmente las secciones de presentación, productos, testimonios y contacto.</t>
  </si>
  <si>
    <t>El sistema debe mostrar imágenes relacionadas con repostería para reforzar la identidad del negocio.</t>
  </si>
  <si>
    <t>El sistema debe permitir que el usuario identifique rápidamente cómo hacer un pedido.</t>
  </si>
  <si>
    <t>El sistema debe mostrar información suficiente para que el cliente pueda tomar una decisión de compra.</t>
  </si>
  <si>
    <t>El sistema debe presentar los productos con una estructura clara de imagen, nombre, descripción y precio.</t>
  </si>
  <si>
    <t>El sistema debe permitir que el usuario se desplace verticalmente por toda la landing.</t>
  </si>
  <si>
    <t>El sistema debe presentar una sección de navegación inferior para mejorar el acceso a información importante.</t>
  </si>
  <si>
    <t>El sistema debe mostrar de forma clara la identidad visual de Mai Shop.</t>
  </si>
  <si>
    <t>El sistema debe mostrar una landing page principal para presentar la marca Mai Shop.</t>
  </si>
  <si>
    <t>El sistema debe servir como página informativa pública para usuarios no autenticados.</t>
  </si>
  <si>
    <t>La página debe mantener una paleta de colores consistente en tonos suaves, rosados, blancos y cafés.</t>
  </si>
  <si>
    <t>El diseño debe transmitir una imagen cálida, artesanal y profesional.</t>
  </si>
  <si>
    <t>El sistema debe ser fácil de usar para visitantes sin conocimientos técnicos.</t>
  </si>
  <si>
    <t>El contenido debe estar organizado en secciones claramente diferenciadas.</t>
  </si>
  <si>
    <t>Los textos deben ser legibles en todas las secciones de la landing.</t>
  </si>
  <si>
    <t>Los títulos deben destacar visualmente frente al contenido descriptivo.</t>
  </si>
  <si>
    <t>Los botones principales deben ser fáciles de identificar.</t>
  </si>
  <si>
    <t>Los íconos deben tener relación visual con la información que representan.</t>
  </si>
  <si>
    <t>Las imágenes deben tener buena calidad visual y estar relacionadas con los productos ofrecidos.</t>
  </si>
  <si>
    <t>La página debe mantener una distribución ordenada de los elementos.</t>
  </si>
  <si>
    <t>Las tarjetas de beneficios deben conservar un diseño uniforme.</t>
  </si>
  <si>
    <t>Las tarjetas de productos deben mantener el mismo formato visual.</t>
  </si>
  <si>
    <t>Las tarjetas de testimonios deben conservar consistencia en tamaño, estilo y distribución.</t>
  </si>
  <si>
    <t>La landing debe adaptarse correctamente a diferentes tamaños de pantalla.</t>
  </si>
  <si>
    <t>La página debe visualizarse correctamente en computadores de escritorio.</t>
  </si>
  <si>
    <t>La página debe visualizarse correctamente en tablets.</t>
  </si>
  <si>
    <t>La página debe visualizarse correctamente en dispositivos móviles.</t>
  </si>
  <si>
    <t>El menú de navegación debe conservar su funcionalidad en diferentes resoluciones.</t>
  </si>
  <si>
    <t>Los botones flotantes deben mantenerse accesibles sin bloquear contenido importante.</t>
  </si>
  <si>
    <t>Las imágenes deben estar optimizadas para evitar cargas lentas.</t>
  </si>
  <si>
    <t>La página debe permitir un desplazamiento fluido entre secciones.</t>
  </si>
  <si>
    <t>El diseño debe evitar la saturación visual de información.</t>
  </si>
  <si>
    <t>La información de contacto debe ser fácil de encontrar.</t>
  </si>
  <si>
    <t>Los precios de los productos deben ser visibles y comprensibles.</t>
  </si>
  <si>
    <t>La página debe mantener contraste suficiente entre texto y fondo.</t>
  </si>
  <si>
    <t>Los botones deben tener suficiente contraste para ser identificados como elementos interactivos.</t>
  </si>
  <si>
    <t>La tipografía debe ser coherente en toda la landing.</t>
  </si>
  <si>
    <t>El tamaño de la letra debe permitir una lectura cómoda.</t>
  </si>
  <si>
    <t>La página debe evitar errores ortográficos en los textos visibles.</t>
  </si>
  <si>
    <t>Los enlaces del menú deben funcionar correctamente.</t>
  </si>
  <si>
    <t>Los enlaces externos, como WhatsApp o redes sociales, deben abrir correctamente.</t>
  </si>
  <si>
    <t>Los enlaces externos deben dirigir al usuario a páginas válidas.</t>
  </si>
  <si>
    <t>El botón de iniciar sesión debe estar ubicado en un lugar visible.</t>
  </si>
  <si>
    <t>El sistema debe proteger el acceso al panel administrativo mediante el botón de inicio de sesión.</t>
  </si>
  <si>
    <t>La landing debe funcionar correctamente en navegadores modernos.</t>
  </si>
  <si>
    <t>La página debe mantener compatibilidad con navegadores como Google Chrome, Microsoft Edge y Mozilla Firefox.</t>
  </si>
  <si>
    <t>El sistema debe mantener una estructura de código organizada para facilitar su mantenimiento.</t>
  </si>
  <si>
    <t>El contenido de productos, textos e imágenes debe poder actualizarse de forma sencilla.</t>
  </si>
  <si>
    <t>La estructura visual debe permitir agregar nuevos productos en el futuro sin afectar el diseño general.</t>
  </si>
  <si>
    <t>El diseño debe permitir agregar nuevos testimonios sin romper la distribución de la sección.</t>
  </si>
  <si>
    <t>La landing debe favorecer la experiencia del cliente y facilitar el contacto con la empresa.</t>
  </si>
  <si>
    <t>La página debe reforzar la confianza del cliente mediante testimonios, beneficios e información clara.</t>
  </si>
  <si>
    <t>La página debe tener una presentación profesional para mejorar la imagen comercial de Mai Shop.</t>
  </si>
  <si>
    <t>El sistema debe mantener estabilidad visual durante la carga de imágenes y contenido.</t>
  </si>
  <si>
    <t>Los elementos interactivos deben responder correctamente al clic del usuario.</t>
  </si>
  <si>
    <t>La página debe evitar redireccionamientos incorrectos o enlaces rotos.</t>
  </si>
  <si>
    <t>La landing debe tener una estructura semántica clara para facilitar su posicionamiento en buscadores.</t>
  </si>
  <si>
    <t>Los textos principales deben ser descriptivos y adecuados para comunicar la propuesta de valor del negocio.</t>
  </si>
  <si>
    <t>La página debe estar diseñada para facilitar la conversión de visitantes en clientes.</t>
  </si>
  <si>
    <t>La información debe presentarse de forma breve, clara y persuasiva.</t>
  </si>
  <si>
    <t>La página debe mantener una experiencia visual agradable durante todo el recorrido del usuario.</t>
  </si>
  <si>
    <t>La página debe conservar el mismo estilo visual desde el inicio hasta el final.</t>
  </si>
  <si>
    <t>El diseño debe priorizar la claridad, la confianza y la facilidad de contacto.</t>
  </si>
  <si>
    <t>La landing page debe tener una interfaz visualmente atractiva y coherente con la identidad de una repostería artesanal.</t>
  </si>
  <si>
    <t>La navegación debe ser clara, simple e intuitiva.</t>
  </si>
  <si>
    <t>El tiempo de carga inicial de la landing debe ser adecuado para no afectar la experiencia del usuario.</t>
  </si>
  <si>
    <t>Las animaciones o efectos visuales, si existen, no deben afectar el rendimiento del sitio.</t>
  </si>
  <si>
    <t>La landing debe estar disponible para usuarios no autenticados.</t>
  </si>
  <si>
    <t>El acceso público a la landing no debe comprometer información privada del sistema.</t>
  </si>
  <si>
    <t>La página no debe mostrar datos sensibles de clientes, usuarios internos o administradores.</t>
  </si>
  <si>
    <t>El footer debe conservar una estructura limpia y no interferir con el contenido principal.</t>
  </si>
  <si>
    <t>El sistema debe mostrar una pantalla de inicio de sesión para permitir el acceso a usuarios registrados de Mai Shop.</t>
  </si>
  <si>
    <t>El sistema debe mostrar un encabezado visual de bienvenida en la vista de inicio de sesión.</t>
  </si>
  <si>
    <t>El sistema debe mostrar un ícono o elemento gráfico representativo de la identidad visual de Mai Shop en la pantalla de acceso.</t>
  </si>
  <si>
    <t>El sistema debe mostrar un texto descriptivo que indique al usuario que debe ingresar a su cuenta de Mai Shop.</t>
  </si>
  <si>
    <t>El sistema debe mostrar un formulario de autenticación compuesto por el campo de correo electrónico y el campo de contraseña.</t>
  </si>
  <si>
    <t>El sistema debe incluir una etiqueta visible para el campo de correo electrónico.</t>
  </si>
  <si>
    <t>El sistema debe incluir una etiqueta visible para el campo de contraseña.</t>
  </si>
  <si>
    <t>El sistema debe permitir al usuario ingresar su correo electrónico en el campo correspondiente.</t>
  </si>
  <si>
    <t>El sistema debe permitir al usuario ingresar su contraseña en el campo correspondiente.</t>
  </si>
  <si>
    <t>El sistema debe mostrar un texto de ejemplo o placeholder dentro del campo de correo electrónico.</t>
  </si>
  <si>
    <t>El sistema debe ocultar visualmente los caracteres ingresados en el campo de contraseña.</t>
  </si>
  <si>
    <t>El sistema debe mostrar íconos representativos dentro de los campos de correo y contraseña.</t>
  </si>
  <si>
    <t>El sistema debe incluir un botón principal para ejecutar la acción de inicio de sesión.</t>
  </si>
  <si>
    <t>El sistema debe permitir al usuario enviar el formulario de acceso al presionar el botón Ingresar.</t>
  </si>
  <si>
    <t>El sistema debe validar que el campo de correo electrónico haya sido diligenciado antes de procesar el inicio de sesión.</t>
  </si>
  <si>
    <t>El sistema debe validar que el campo de contraseña haya sido diligenciado antes de procesar el inicio de sesión.</t>
  </si>
  <si>
    <t>El sistema debe validar que el valor ingresado en el campo de correo tenga estructura de correo electrónico válida.</t>
  </si>
  <si>
    <t>El sistema debe resaltar visualmente el campo de correo electrónico cuando el valor ingresado sea inválido.</t>
  </si>
  <si>
    <t>El sistema debe permitir corregir el correo electrónico después de detectar un error de formato.</t>
  </si>
  <si>
    <t>El sistema debe validar las credenciales ingresadas contra los registros autorizados del sistema.</t>
  </si>
  <si>
    <t>El sistema debe autenticar al usuario cuando el correo y la contraseña sean correctos.</t>
  </si>
  <si>
    <t>El sistema debe impedir el acceso cuando el correo o la contraseña sean incorrectos.</t>
  </si>
  <si>
    <t>El sistema debe mostrar el mensaje “Email o contraseña incorrectos” o uno equivalente cuando la autenticación falle.</t>
  </si>
  <si>
    <t>El sistema debe mantener visible el formulario de acceso después de un intento fallido de autenticación.</t>
  </si>
  <si>
    <t>El sistema debe permitir al usuario volver a intentar el inicio de sesión luego de un error de autenticación.</t>
  </si>
  <si>
    <t>El sistema debe conservar o permitir corregir la información ingresada tras una validación fallida, según la lógica implementada.</t>
  </si>
  <si>
    <t>El sistema debe incluir un enlace o acción de recuperación de contraseña.</t>
  </si>
  <si>
    <t>El sistema debe permitir al usuario seleccionar la opción “¿Olvidaste tu contraseña?”.</t>
  </si>
  <si>
    <t>El sistema debe redirigir o iniciar el flujo de recuperación de acceso al seleccionar la opción de contraseña olvidada.</t>
  </si>
  <si>
    <t>El sistema debe incluir una opción para volver al inicio o regresar a la página principal.</t>
  </si>
  <si>
    <t>El sistema debe permitir que el usuario interactúe con el formulario exclusivamente mediante controles visibles y claramente identificables.</t>
  </si>
  <si>
    <t>El sistema debe mostrar el botón Ingresar como la acción principal del formulario.</t>
  </si>
  <si>
    <t>El sistema debe permitir que el usuario se autentique para acceder a las funcionalidades restringidas del sistema.</t>
  </si>
  <si>
    <t>El sistema debe gestionar el inicio de sesión como paso previo al acceso a módulos privados.</t>
  </si>
  <si>
    <t>El sistema debe mostrar mensajes de error diferenciados entre errores de validación de campos y errores de autenticación.</t>
  </si>
  <si>
    <t>El sistema debe permitir que un usuario identifique claramente la causa del error cuando el problema sea un formato inválido de correo.</t>
  </si>
  <si>
    <t>El sistema debe permitir que un usuario identifique claramente la causa del error cuando el problema sea una credencial incorrecta.</t>
  </si>
  <si>
    <t>El sistema debe ofrecer retroalimentación inmediata después del intento de inicio de sesión.</t>
  </si>
  <si>
    <t>El sistema debe mantener visibles los campos del formulario mientras el usuario corrige errores.</t>
  </si>
  <si>
    <t>El sistema debe permitir realizar múltiples intentos de acceso hasta ingresar credenciales válidas, conforme a la lógica definida por el sistema.</t>
  </si>
  <si>
    <t>El sistema debe servir como punto de entrada al sistema interno o panel administrativo de Mai Shop.</t>
  </si>
  <si>
    <t>El sistema debe impedir el envío exitoso del formulario cuando el correo electrónico no tenga un formato válido.</t>
  </si>
  <si>
    <t>El sistema debe mostrar un mensaje de validación cuando el correo electrónico no incluya el carácter “@” o no cumpla con la estructura requerida.</t>
  </si>
  <si>
    <t>El sistema debe mostrar un mensaje de error visible cuando las credenciales ingresadas no coincidan con un usuario válido.</t>
  </si>
  <si>
    <t>El sistema debe permitir redirigir al usuario a la landing page o página inicial al seleccionar la opción “Volver al inicio”.</t>
  </si>
  <si>
    <t>El sistema debe funcionar como barrera de acceso para evitar que usuarios no autenticados ingresen al sistema administrativo.</t>
  </si>
  <si>
    <t>La interfaz de inicio de sesión debe ser clara, limpia y visualmente ordenada.</t>
  </si>
  <si>
    <t>La pantalla de acceso debe mantener coherencia visual con la identidad gráfica de Mai Shop.</t>
  </si>
  <si>
    <t>El diseño debe utilizar colores suaves y consistentes con la imagen de marca del proyecto.</t>
  </si>
  <si>
    <t>La vista de inicio de sesión debe transmitir profesionalismo, confianza y facilidad de uso.</t>
  </si>
  <si>
    <t>Los textos visibles de la interfaz deben ser legibles y comprensibles.</t>
  </si>
  <si>
    <t>Los títulos y etiquetas del formulario deben destacar con claridad frente al fondo.</t>
  </si>
  <si>
    <t>El formulario debe estar centrado y distribuido de forma que facilite su lectura y uso.</t>
  </si>
  <si>
    <t>Los campos del formulario deben ser visualmente distinguibles como elementos de entrada.</t>
  </si>
  <si>
    <t>Los botones interactivos deben ser fácilmente identificables.</t>
  </si>
  <si>
    <t>El botón principal de ingreso debe tener suficiente visibilidad y contraste respecto al resto de la interfaz.</t>
  </si>
  <si>
    <t>Los mensajes de error deben ser visibles, claros y comprensibles para el usuario.</t>
  </si>
  <si>
    <t>Los mensajes de validación deben mostrarse cerca del campo relacionado o en una ubicación claramente asociada al error.</t>
  </si>
  <si>
    <t>El sistema debe diferenciar visualmente los estados normales, de error y de validación en los campos del formulario.</t>
  </si>
  <si>
    <t>El campo de correo debe resaltar visualmente cuando exista un error de validación.</t>
  </si>
  <si>
    <t>La interfaz debe responder de manera rápida al intento de autenticación del usuario.</t>
  </si>
  <si>
    <t>La validación del formato del correo debe ejecutarse de manera inmediata o en un tiempo razonable.</t>
  </si>
  <si>
    <t>El sistema debe mantener estabilidad durante la interacción con el formulario de acceso.</t>
  </si>
  <si>
    <t>La página de inicio de sesión debe visualizarse correctamente en navegadores modernos.</t>
  </si>
  <si>
    <t>La interfaz debe ser compatible con Google Chrome, Microsoft Edge y Mozilla Firefox.</t>
  </si>
  <si>
    <t>La pantalla de acceso debe adaptarse correctamente a distintas resoluciones de pantalla.</t>
  </si>
  <si>
    <t>La vista de inicio de sesión debe mostrarse adecuadamente en equipos de escritorio.</t>
  </si>
  <si>
    <t>La vista de inicio de sesión debe mostrarse adecuadamente en tablets.</t>
  </si>
  <si>
    <t>La vista de inicio de sesión debe mostrarse adecuadamente en dispositivos móviles.</t>
  </si>
  <si>
    <t>El sistema debe mantener una experiencia consistente sin importar el tamaño del dispositivo.</t>
  </si>
  <si>
    <t>La tipografía empleada debe ser consistente en toda la interfaz de acceso.</t>
  </si>
  <si>
    <t>El tamaño del texto debe facilitar la lectura sin forzar al usuario.</t>
  </si>
  <si>
    <t>El sistema debe proteger la contraseña mostrando sus caracteres ocultos durante la digitación.</t>
  </si>
  <si>
    <t>El acceso al sistema debe estar restringido únicamente a usuarios autenticados.</t>
  </si>
  <si>
    <t>La solución debe favorecer la seguridad al validar correo y contraseña antes de otorgar acceso.</t>
  </si>
  <si>
    <t>El sistema debe mantener la confidencialidad de los datos ingresados por el usuario durante el proceso de autenticación.</t>
  </si>
  <si>
    <t>La navegación hacia “Volver al inicio” debe ejecutarse sin errores.</t>
  </si>
  <si>
    <t>La opción de recuperación de contraseña debe estar disponible y ser fácilmente identificable.</t>
  </si>
  <si>
    <t>Los controles interactivos deben responder correctamente al clic o toque del usuario.</t>
  </si>
  <si>
    <t>La interfaz debe permitir mantenimiento y actualización sencilla de textos, colores y estructura visual.</t>
  </si>
  <si>
    <t>La interfaz debe conservar consistencia visual aun cuando se muestren mensajes de error.</t>
  </si>
  <si>
    <t>El diseño debe evitar saturación de contenido y enfocarse en la tarea principal de autenticación.</t>
  </si>
  <si>
    <t>La experiencia de usuario debe permitir entender rápidamente cómo iniciar sesión.</t>
  </si>
  <si>
    <t>La pantalla de acceso debe minimizar la posibilidad de confusión durante el proceso de autenticación.</t>
  </si>
  <si>
    <t>El sistema debe ofrecer una experiencia intuitiva incluso para usuarios con conocimientos técnicos básicos.</t>
  </si>
  <si>
    <t>La validación debe contribuir a reducir errores de entrada antes de enviar información al sistema.</t>
  </si>
  <si>
    <t>La interfaz debe conservar una apariencia estable sin saltos visuales bruscos al mostrar errores o alertas.</t>
  </si>
  <si>
    <t>La pantalla de acceso debe estar disponible como punto inicial de entrada a las funcionalidades privadas del sistema.</t>
  </si>
  <si>
    <t>El sistema debe mantener una apariencia uniforme entre el estado inicial del formulario, el estado con validaciones y el estado con errores de autenticación.</t>
  </si>
  <si>
    <t>La solución debe priorizar claridad, seguridad, facilidad de uso y buena presentación visual en el proceso de inicio de sesión.</t>
  </si>
  <si>
    <t>La página debe mantener una estructura visual simple que no distraiga al usuario del proceso de autenticación.</t>
  </si>
  <si>
    <t>El tiempo de respuesta al enviar el formulario debe ser adecuado para no afectar la experiencia del usuario.</t>
  </si>
  <si>
    <t>El formulario no debe presentar comportamientos inesperados al ingresar datos inválidos.</t>
  </si>
  <si>
    <t>Los elementos del formulario no deben desbordarse ni perder alineación en pantallas pequeñas.</t>
  </si>
  <si>
    <t>La interfaz no debe exponer la contraseña en texto plano durante el ingreso.</t>
  </si>
  <si>
    <t>El formulario de acceso no debe permitir el ingreso al sistema sin una validación correcta de credenciales.</t>
  </si>
  <si>
    <t>La página pública de inicio de sesión no debe exponer información sensible del sistema.</t>
  </si>
  <si>
    <t>Los mensajes de error no deben revelar información sensible sobre la existencia exacta de usuarios o detalles internos del sistema.</t>
  </si>
  <si>
    <t>El código de la vista de login debe estar organizado para facilitar correcciones y mejoras futuras.</t>
  </si>
  <si>
    <r>
      <t xml:space="preserve">El sistema debe mostrar un botón de </t>
    </r>
    <r>
      <rPr>
        <b/>
        <sz val="11"/>
        <color theme="1"/>
        <rFont val="Calibri"/>
        <family val="2"/>
      </rPr>
      <t>Cerrar Sesión</t>
    </r>
    <r>
      <rPr>
        <sz val="11"/>
        <color theme="1"/>
        <rFont val="Calibri"/>
        <family val="2"/>
      </rPr>
      <t xml:space="preserve"> dentro del panel del usuario.</t>
    </r>
  </si>
  <si>
    <r>
      <t xml:space="preserve">El sistema debe permitir al usuario iniciar el proceso de cierre de sesión al presionar el botón </t>
    </r>
    <r>
      <rPr>
        <b/>
        <sz val="11"/>
        <color theme="1"/>
        <rFont val="Calibri"/>
        <family val="2"/>
      </rPr>
      <t>Cerrar Sesión</t>
    </r>
    <r>
      <rPr>
        <sz val="11"/>
        <color theme="1"/>
        <rFont val="Calibri"/>
        <family val="2"/>
      </rPr>
      <t>.</t>
    </r>
  </si>
  <si>
    <t>El sistema debe mostrar una ventana modal de confirmación antes de cerrar la sesión.</t>
  </si>
  <si>
    <r>
      <t xml:space="preserve">El sistema debe mostrar el título </t>
    </r>
    <r>
      <rPr>
        <b/>
        <sz val="11"/>
        <color theme="1"/>
        <rFont val="Calibri"/>
        <family val="2"/>
      </rPr>
      <t>Cerrar Sesión</t>
    </r>
    <r>
      <rPr>
        <sz val="11"/>
        <color theme="1"/>
        <rFont val="Calibri"/>
        <family val="2"/>
      </rPr>
      <t xml:space="preserve"> en la ventana modal.</t>
    </r>
  </si>
  <si>
    <r>
      <t xml:space="preserve">El sistema debe mostrar el mensaje de confirmación: </t>
    </r>
    <r>
      <rPr>
        <b/>
        <sz val="11"/>
        <color theme="1"/>
        <rFont val="Calibri"/>
        <family val="2"/>
      </rPr>
      <t>¿Estás seguro de que deseas cerrar sesión?</t>
    </r>
  </si>
  <si>
    <r>
      <t xml:space="preserve">El sistema debe mostrar un botón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 xml:space="preserve"> dentro de la ventana modal.</t>
    </r>
  </si>
  <si>
    <r>
      <t xml:space="preserve">El sistema debe mostrar un botón </t>
    </r>
    <r>
      <rPr>
        <b/>
        <sz val="11"/>
        <color theme="1"/>
        <rFont val="Calibri"/>
        <family val="2"/>
      </rPr>
      <t>Confirmar</t>
    </r>
    <r>
      <rPr>
        <sz val="11"/>
        <color theme="1"/>
        <rFont val="Calibri"/>
        <family val="2"/>
      </rPr>
      <t xml:space="preserve"> dentro de la ventana modal.</t>
    </r>
  </si>
  <si>
    <t>El sistema debe mostrar un ícono de cierre en la parte superior derecha de la ventana modal.</t>
  </si>
  <si>
    <t>El sistema debe permitir cerrar la ventana modal al presionar el ícono de cierre.</t>
  </si>
  <si>
    <r>
      <t xml:space="preserve">El sistema debe permitir cancelar el proceso de cierre de sesión al presionar el botón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>.</t>
    </r>
  </si>
  <si>
    <r>
      <t xml:space="preserve">El sistema debe mantener al usuario dentro del sistema si presiona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>.</t>
    </r>
  </si>
  <si>
    <t>El sistema debe mantener al usuario dentro del sistema si cierra la ventana modal sin confirmar.</t>
  </si>
  <si>
    <r>
      <t xml:space="preserve">El sistema debe cerrar la sesión únicamente cuando el usuario presione el botón </t>
    </r>
    <r>
      <rPr>
        <b/>
        <sz val="11"/>
        <color theme="1"/>
        <rFont val="Calibri"/>
        <family val="2"/>
      </rPr>
      <t>Confirmar</t>
    </r>
    <r>
      <rPr>
        <sz val="11"/>
        <color theme="1"/>
        <rFont val="Calibri"/>
        <family val="2"/>
      </rPr>
      <t>.</t>
    </r>
  </si>
  <si>
    <t>El sistema debe finalizar la sesión activa del usuario después de confirmar el cierre de sesión.</t>
  </si>
  <si>
    <t>El sistema debe eliminar o invalidar la información de autenticación del usuario al cerrar sesión.</t>
  </si>
  <si>
    <t>El sistema debe impedir que el usuario continúe accediendo a módulos privados después de cerrar sesión.</t>
  </si>
  <si>
    <t>El sistema debe redireccionar al usuario a la pantalla de inicio de sesión después de confirmar el cierre de sesión.</t>
  </si>
  <si>
    <t>El sistema debe mostrar el modal de cierre de sesión sobre la vista actual sin cambiar inmediatamente de página.</t>
  </si>
  <si>
    <t>El sistema debe bloquear temporalmente la interacción con el fondo mientras el modal está abierto.</t>
  </si>
  <si>
    <t>El sistema debe diferenciar visualmente la acción de confirmación frente a la acción de cancelación.</t>
  </si>
  <si>
    <t>El sistema debe permitir al usuario tomar una decisión antes de finalizar su sesión.</t>
  </si>
  <si>
    <t>El sistema debe evitar cierres de sesión accidentales mediante una confirmación previa.</t>
  </si>
  <si>
    <t>El sistema debe permitir regresar al flujo normal del sistema si el usuario decide no cerrar sesión.</t>
  </si>
  <si>
    <t>El sistema debe ejecutar el cierre de sesión de forma controlada desde la interfaz del usuario.</t>
  </si>
  <si>
    <t>El sistema debe actualizar el estado de autenticación del usuario después de cerrar sesión.</t>
  </si>
  <si>
    <t>El sistema debe impedir el acceso directo al panel administrativo si la sesión ya fue cerrada.</t>
  </si>
  <si>
    <t>El sistema debe enviar al usuario al login cuando intente acceder a rutas protegidas después de cerrar sesión.</t>
  </si>
  <si>
    <t>El sistema debe limpiar los datos de sesión almacenados en el navegador, si aplica.</t>
  </si>
  <si>
    <t>El sistema debe cerrar el modal después de cancelar o confirmar la acción.</t>
  </si>
  <si>
    <t>El sistema debe mostrar claramente las opciones disponibles para cerrar o conservar la sesión.</t>
  </si>
  <si>
    <t>La interfaz de cierre de sesión debe ser clara y fácil de entender.</t>
  </si>
  <si>
    <t>El botón de Cerrar Sesión debe ser visible dentro del panel del usuario.</t>
  </si>
  <si>
    <t>El botón de Cerrar Sesión debe tener un diseño que indique una acción importante o sensible.</t>
  </si>
  <si>
    <t>La ventana modal debe mantener coherencia visual con el diseño general de Mai Shop.</t>
  </si>
  <si>
    <t>El modal debe presentar una distribución ordenada entre título, mensaje y botones.</t>
  </si>
  <si>
    <t>El mensaje de confirmación debe ser breve, claro y comprensible.</t>
  </si>
  <si>
    <t>Los botones Cancelar y Confirmar deben ser fáciles de identificar.</t>
  </si>
  <si>
    <t>El botón Confirmar debe tener mayor énfasis visual que el botón Cancelar.</t>
  </si>
  <si>
    <t>La interfaz debe usar colores adecuados para diferenciar acciones normales y acciones sensibles.</t>
  </si>
  <si>
    <t>El sistema debe evitar que el usuario cierre sesión por error.</t>
  </si>
  <si>
    <t>La ventana modal debe mostrarse de forma centrada en la pantalla.</t>
  </si>
  <si>
    <t>El fondo de la página debe oscurecerse o desenfocarse mientras el modal esté activo.</t>
  </si>
  <si>
    <t>El modal debe mantener buena legibilidad en textos y botones.</t>
  </si>
  <si>
    <t>La acción de cierre de sesión debe responder en un tiempo adecuado.</t>
  </si>
  <si>
    <t>El sistema debe mantener estabilidad visual durante la apertura y cierre del modal.</t>
  </si>
  <si>
    <t>El sistema debe funcionar correctamente en navegadores modernos.</t>
  </si>
  <si>
    <t>La vista de cierre de sesión debe adaptarse a diferentes tamaños de pantalla.</t>
  </si>
  <si>
    <t>El modal debe visualizarse correctamente en computadores de escritorio.</t>
  </si>
  <si>
    <t>El modal debe visualizarse correctamente en tablets.</t>
  </si>
  <si>
    <t>El modal debe visualizarse correctamente en dispositivos móviles.</t>
  </si>
  <si>
    <t>Los botones del modal deben conservar tamaño suficiente para facilitar la interacción.</t>
  </si>
  <si>
    <t>El ícono de cierre debe ser visible y fácil de seleccionar.</t>
  </si>
  <si>
    <t>El cierre de sesión debe proteger el acceso a información privada del sistema.</t>
  </si>
  <si>
    <t>La información de sesión debe manejarse de forma segura.</t>
  </si>
  <si>
    <t>El proceso de cierre de sesión debe ser confiable y consistente.</t>
  </si>
  <si>
    <t>La interfaz debe conservar el mismo estilo visual del resto del sistema administrativo.</t>
  </si>
  <si>
    <t>El diseño del modal debe evitar saturación de información.</t>
  </si>
  <si>
    <t>Los textos deben mantener una tipografía clara y coherente.</t>
  </si>
  <si>
    <t>Los colores del botón de cierre de sesión deben advertir al usuario que se trata de una acción importante.</t>
  </si>
  <si>
    <t>El sistema debe permitir una experiencia de usuario intuitiva durante el cierre de sesión.</t>
  </si>
  <si>
    <t>El flujo de cierre de sesión debe requerir pocos pasos y ser fácil de completar.</t>
  </si>
  <si>
    <t>La cancelación del cierre de sesión debe ejecutarse sin afectar el estado actual del usuario.</t>
  </si>
  <si>
    <t>La confirmación del cierre de sesión debe ejecutarse sin errores de navegación.</t>
  </si>
  <si>
    <t>El sistema debe mantener la seguridad de las rutas privadas después del cierre de sesión.</t>
  </si>
  <si>
    <t>El componente de cierre de sesión debe ser mantenible y reutilizable dentro del sistema.</t>
  </si>
  <si>
    <t>La confirmación de cierre de sesión debe mejorar la seguridad y control del usuario.</t>
  </si>
  <si>
    <t>La redirección al login debe ejecutarse sin demoras innecesarias después de confirmar.</t>
  </si>
  <si>
    <t>La interfaz no debe presentar saltos visuales bruscos al mostrar la ventana de confirmación.</t>
  </si>
  <si>
    <t>El sistema no debe permitir regresar al panel privado usando el botón atrás del navegador después de cerrar sesión, si la sesión ya no es válida.</t>
  </si>
  <si>
    <t>El sistema no debe exponer datos sensibles durante el proceso de cierre de sesión.</t>
  </si>
  <si>
    <t>El sistema debe mostrar un texto explicativo indicando que se enviará un enlace para restablecer la contraseña.</t>
  </si>
  <si>
    <t>El sistema debe permitir al usuario escribir su correo electrónico.</t>
  </si>
  <si>
    <t>El sistema debe mostrar un placeholder en el campo de correo electrónico.</t>
  </si>
  <si>
    <t>El sistema debe validar que el campo de correo electrónico no esté vacío.</t>
  </si>
  <si>
    <t>El sistema debe validar que el correo ingresado tenga un formato válido.</t>
  </si>
  <si>
    <t>El sistema debe impedir el envío del formulario si el correo no cumple el formato requerido.</t>
  </si>
  <si>
    <t>El sistema debe resaltar visualmente el campo cuando el correo sea inválido.</t>
  </si>
  <si>
    <t>El sistema debe permitir corregir el correo antes de reenviar el formulario.</t>
  </si>
  <si>
    <t>El sistema debe verificar si el correo ingresado corresponde a una cuenta registrada en el sistema.</t>
  </si>
  <si>
    <t>El sistema debe generar un enlace o token de restablecimiento para el usuario.</t>
  </si>
  <si>
    <t>El sistema debe enviar un correo de recuperación al correo electrónico registrado.</t>
  </si>
  <si>
    <t>El sistema debe mostrar un mensaje de confirmación cuando el correo de recuperación sea enviado.</t>
  </si>
  <si>
    <t>El sistema debe mostrar en la confirmación el correo destinatario al que se envió el enlace.</t>
  </si>
  <si>
    <t>El sistema debe permitir volver al inicio de sesión desde la vista de recuperación.</t>
  </si>
  <si>
    <t>El sistema debe generar un correo con asunto relacionado con el restablecimiento de contraseña de Mai Shop.</t>
  </si>
  <si>
    <t>El sistema debe mostrar en el correo el nombre o identificación del usuario destinatario.</t>
  </si>
  <si>
    <t>El sistema debe mostrar en el correo una explicación del motivo del envío.</t>
  </si>
  <si>
    <t>El sistema debe permitir acceder al formulario de cambio de contraseña al hacer clic en el botón del correo.</t>
  </si>
  <si>
    <t>El sistema debe mostrar en el correo el tiempo de expiración del enlace.</t>
  </si>
  <si>
    <t>El sistema debe mostrar en el correo una advertencia indicando que, si no se solicitó el cambio, el usuario puede ignorar el mensaje.</t>
  </si>
  <si>
    <t>El sistema debe identificar visualmente el correo como parte de Mai Shop.</t>
  </si>
  <si>
    <t>El sistema debe manejar el flujo completo de recuperación desde la solicitud hasta el envío del enlace.</t>
  </si>
  <si>
    <t>El sistema debe impedir el uso del enlace de recuperación una vez expirado el tiempo de vigencia.</t>
  </si>
  <si>
    <t>El sistema debe permitir solicitar nuevamente un enlace de recuperación cuando el anterior haya expirado, según la lógica del sistema.</t>
  </si>
  <si>
    <t>El sistema debe mostrar mensajes claros durante el proceso de recuperación.</t>
  </si>
  <si>
    <t>El sistema debe mantener disponible la opción de recuperación como mecanismo alterno de acceso.</t>
  </si>
  <si>
    <t>El sistema debe permitir acceder a la vista ¿Olvidaste tu contraseña? desde el inicio de sesión.</t>
  </si>
  <si>
    <t>El sistema debe mostrar el título ¿Olvidaste tu contraseña?.</t>
  </si>
  <si>
    <t>El sistema debe mostrar un mensaje informativo indicando que el enlace tendrá una validez de 15 minutos.</t>
  </si>
  <si>
    <t>El sistema debe mostrar un campo para ingresar el correo electrónico.</t>
  </si>
  <si>
    <t>El sistema debe mostrar un botón Enviar enlace.</t>
  </si>
  <si>
    <t>El sistema debe asignar una vigencia de 15 minutos al enlace de recuperación.</t>
  </si>
  <si>
    <t>El sistema debe mostrar en la confirmación que el enlace expira en 15 minutos.</t>
  </si>
  <si>
    <t>El sistema debe redirigir al usuario al login al seleccionar Volver al inicio de sesión.</t>
  </si>
  <si>
    <t>El sistema debe incluir en el correo un botón Restablecer contraseña.</t>
  </si>
  <si>
    <t>La interfaz de recuperación de contraseña debe ser clara y fácil de usar.</t>
  </si>
  <si>
    <t>La vista debe mantener coherencia visual con la identidad gráfica de Mai Shop.</t>
  </si>
  <si>
    <t>Los textos de la pantalla deben ser legibles y comprensibles.</t>
  </si>
  <si>
    <r>
      <t xml:space="preserve">El diseño debe resaltar claramente la acción principal </t>
    </r>
    <r>
      <rPr>
        <b/>
        <sz val="11"/>
        <color theme="1"/>
        <rFont val="Calibri"/>
        <family val="2"/>
      </rPr>
      <t>Enviar enlace</t>
    </r>
    <r>
      <rPr>
        <sz val="11"/>
        <color theme="1"/>
        <rFont val="Calibri"/>
        <family val="2"/>
      </rPr>
      <t>.</t>
    </r>
  </si>
  <si>
    <t>La información sobre la vigencia del enlace debe ser visible.</t>
  </si>
  <si>
    <t>El mensaje de confirmación debe ser claro y fácil de identificar.</t>
  </si>
  <si>
    <t>Los estados informativos y de éxito deben diferenciarse visualmente.</t>
  </si>
  <si>
    <t>El formulario debe conservar una estructura limpia y ordenada.</t>
  </si>
  <si>
    <t>La vista debe adaptarse correctamente a dispositivos móviles.</t>
  </si>
  <si>
    <t>La vista debe adaptarse correctamente a tablets.</t>
  </si>
  <si>
    <t>La vista debe adaptarse correctamente a computadores de escritorio.</t>
  </si>
  <si>
    <t>La interfaz debe funcionar correctamente en navegadores modernos.</t>
  </si>
  <si>
    <t>El tiempo de respuesta al enviar la solicitud de recuperación debe ser adecuado.</t>
  </si>
  <si>
    <t>El envío del correo de recuperación debe ejecutarse en un tiempo razonable.</t>
  </si>
  <si>
    <t>El sistema debe mantener estabilidad durante la solicitud de recuperación.</t>
  </si>
  <si>
    <t>El sistema debe proteger el token o enlace de restablecimiento contra manipulación no autorizada.</t>
  </si>
  <si>
    <t>El enlace de recuperación debe ser seguro y de uso restringido.</t>
  </si>
  <si>
    <t>El sistema no debe exponer información sensible en la pantalla de recuperación.</t>
  </si>
  <si>
    <t>El sistema no debe exponer contraseñas ni datos privados en el correo enviado.</t>
  </si>
  <si>
    <t>El proceso de recuperación debe preservar la confidencialidad del usuario.</t>
  </si>
  <si>
    <t>El correo de recuperación debe tener un diseño claro, profesional y coherente con la marca.</t>
  </si>
  <si>
    <t>La plantilla de correo debe ser legible en distintos clientes de correo electrónico.</t>
  </si>
  <si>
    <t>El botón del correo debe ser fácilmente identificable.</t>
  </si>
  <si>
    <t>El contenido del correo debe ser breve, claro y orientado a la acción.</t>
  </si>
  <si>
    <t>La interfaz debe permitir al usuario entender rápidamente qué debe hacer.</t>
  </si>
  <si>
    <t>El sistema debe minimizar errores de entrada mediante validación del correo.</t>
  </si>
  <si>
    <t>El sistema debe mostrar retroalimentación visual sin generar confusión.</t>
  </si>
  <si>
    <t>El sistema debe mantener consistencia visual entre la vista de recuperación y la vista de login.</t>
  </si>
  <si>
    <t>El código del módulo de recuperación debe ser mantenible y fácil de actualizar.</t>
  </si>
  <si>
    <t>La solución debe priorizar claridad, seguridad, rapidez y facilidad de uso.</t>
  </si>
  <si>
    <t>El sistema debe permitir acceder al módulo de cambio de contraseña desde el enlace enviado al correo de recuperación.</t>
  </si>
  <si>
    <t>El sistema debe mostrar la vista Nueva Contraseña para crear una nueva clave de acceso.</t>
  </si>
  <si>
    <t>El sistema debe mostrar un texto descriptivo indicando que el usuario debe crear una nueva contraseña segura.</t>
  </si>
  <si>
    <t>El sistema debe permitir ingresar caracteres en el campo Nueva Contraseña.</t>
  </si>
  <si>
    <t>El sistema debe permitir ingresar caracteres en el campo Confirmar Contraseña.</t>
  </si>
  <si>
    <t>El sistema debe ocultar visualmente los caracteres ingresados en ambos campos de contraseña.</t>
  </si>
  <si>
    <t>El sistema debe mostrar un ícono de candado en el campo de nueva contraseña.</t>
  </si>
  <si>
    <t>El sistema debe mostrar un ícono de confirmación en el campo de confirmar contraseña.</t>
  </si>
  <si>
    <t>El sistema debe mostrar un ícono de visualización para permitir ver u ocultar la contraseña ingresada.</t>
  </si>
  <si>
    <t>El sistema debe permitir alternar la visibilidad de la contraseña en el campo Nueva Contraseña.</t>
  </si>
  <si>
    <t>El sistema debe permitir alternar la visibilidad de la contraseña en el campo Confirmar Contraseña.</t>
  </si>
  <si>
    <t>El sistema debe evaluar la seguridad de la contraseña ingresada.</t>
  </si>
  <si>
    <t>El sistema debe mostrar una barra de seguridad debajo del campo de nueva contraseña.</t>
  </si>
  <si>
    <t>El sistema debe indicar cuando la contraseña ingresada es débil.</t>
  </si>
  <si>
    <t>El sistema debe indicar cuando la contraseña ingresada tiene seguridad media.</t>
  </si>
  <si>
    <t>El sistema debe mostrar el mensaje Contraseña media cuando la clave tenga un nivel intermedio de seguridad.</t>
  </si>
  <si>
    <t>El sistema debe indicar cuando la contraseña ingresada es fuerte.</t>
  </si>
  <si>
    <t>El sistema debe mostrar el mensaje Contraseña fuerte cuando la clave cumpla criterios adecuados de seguridad.</t>
  </si>
  <si>
    <t>El sistema debe cambiar visualmente la barra de seguridad según el nivel de la contraseña.</t>
  </si>
  <si>
    <t>El sistema debe usar un estado visual rojo o de alerta para contraseñas débiles.</t>
  </si>
  <si>
    <t>El sistema debe usar un estado visual naranja o preventivo para contraseñas medias.</t>
  </si>
  <si>
    <t>El sistema debe usar un estado visual verde o exitoso para contraseñas fuertes.</t>
  </si>
  <si>
    <t>El sistema debe validar que la contraseña confirmada coincida con la nueva contraseña ingresada.</t>
  </si>
  <si>
    <t>El sistema debe impedir guardar la contraseña si los campos están vacíos.</t>
  </si>
  <si>
    <t>El sistema debe permitir guardar la nueva contraseña cuando cumpla las validaciones requeridas.</t>
  </si>
  <si>
    <t>El sistema debe mostrar un botón principal Guardar contraseña.</t>
  </si>
  <si>
    <t>El sistema debe permitir ejecutar el cambio de contraseña al presionar el botón Guardar contraseña.</t>
  </si>
  <si>
    <t>El sistema debe actualizar la contraseña del usuario después de validar correctamente los datos ingresados.</t>
  </si>
  <si>
    <t>El sistema debe mostrar un mensaje de éxito cuando la contraseña sea actualizada correctamente.</t>
  </si>
  <si>
    <t>El sistema debe mostrar el mensaje ¡Contraseña actualizada! después de completar el cambio.</t>
  </si>
  <si>
    <t>El sistema debe informar al usuario que será redirigido al inicio de sesión después de actualizar la contraseña.</t>
  </si>
  <si>
    <t>El sistema debe indicar el tiempo restante antes de la redirección automática al inicio de sesión.</t>
  </si>
  <si>
    <t>El sistema debe permitir volver manualmente al inicio de sesión desde la vista de nueva contraseña.</t>
  </si>
  <si>
    <t>El sistema debe mostrar la opción Volver al inicio de sesión.</t>
  </si>
  <si>
    <t>El sistema debe invalidar el enlace o token de recuperación después de usarlo correctamente.</t>
  </si>
  <si>
    <t>El sistema debe impedir reutilizar el mismo enlace de recuperación después de cambiar la contraseña.</t>
  </si>
  <si>
    <t>El sistema debe impedir el cambio de contraseña si el enlace de recuperación ha expirado.</t>
  </si>
  <si>
    <t>El sistema debe asociar el cambio de contraseña únicamente al usuario dueño del enlace de recuperación.</t>
  </si>
  <si>
    <t>El sistema debe mostrar retroalimentación visual durante el proceso de validación de contraseña.</t>
  </si>
  <si>
    <t>El sistema debe mantener visible la vista de cambio de contraseña mientras existan errores de validación.</t>
  </si>
  <si>
    <t>El sistema debe permitir corregir la contraseña ingresada antes de guardar.</t>
  </si>
  <si>
    <t>El sistema debe permitir corregir la confirmación de contraseña antes de guardar.</t>
  </si>
  <si>
    <t>El sistema debe funcionar como parte final del flujo de recuperación de contraseña.</t>
  </si>
  <si>
    <t>El sistema debe mostrar un placeholder indicando que la contraseña debe tener mínimo 8 caracteres.</t>
  </si>
  <si>
    <t>El sistema debe validar que la nueva contraseña tenga mínimo 8 caracteres.</t>
  </si>
  <si>
    <t>El sistema debe mostrar el mensaje Contraseña débil cuando la clave no cumpla criterios suficientes de seguridad.</t>
  </si>
  <si>
    <t>El sistema debe validar que el campo de confirmación de contraseña no esté vacío.</t>
  </si>
  <si>
    <t>El sistema debe impedir guardar la contraseña si la nueva contraseña no cumple la longitud mínima requerida.</t>
  </si>
  <si>
    <t>El sistema debe impedir guardar la contraseña si la confirmación no coincide con la nueva contraseña.</t>
  </si>
  <si>
    <t>El sistema debe redirigir automáticamente al usuario al login después de actualizar la contraseña.</t>
  </si>
  <si>
    <t>El sistema debe redirigir al usuario al inicio de sesión en aproximadamente 3 segundos después de actualizar la contraseña.</t>
  </si>
  <si>
    <t>El sistema debe permitir que el usuario use su nueva contraseña en el inicio de sesión después de actualizarla.</t>
  </si>
  <si>
    <t>El sistema debe completar el flujo de recuperación redirigiendo al usuario nuevamente al login</t>
  </si>
  <si>
    <t>La vista de cambio de contraseña debe mantener coherencia visual con el diseño de Mai Shop.</t>
  </si>
  <si>
    <t>La interfaz debe ser clara, ordenada y fácil de entender.</t>
  </si>
  <si>
    <t>El diseño debe permitir que el usuario identifique rápidamente dónde ingresar la nueva contraseña.</t>
  </si>
  <si>
    <t>Los campos de contraseña deben ser visualmente claros y fáciles de usar.</t>
  </si>
  <si>
    <t>Las etiquetas de los campos deben ser legibles y comprensibles.</t>
  </si>
  <si>
    <t>El botón Guardar contraseña debe tener suficiente visibilidad como acción principal.</t>
  </si>
  <si>
    <t>La opción Volver al inicio de sesión debe ser visible sin competir con la acción principal.</t>
  </si>
  <si>
    <t>Los mensajes de validación deben mostrarse de forma clara y cercana al campo correspondiente.</t>
  </si>
  <si>
    <t>La barra de seguridad de contraseña debe ser fácil de interpretar.</t>
  </si>
  <si>
    <t>Los colores de seguridad deben diferenciar claramente los estados débil, medio y fuerte.</t>
  </si>
  <si>
    <t>El mensaje de contraseña débil debe alertar al usuario de forma clara.</t>
  </si>
  <si>
    <t>El mensaje de contraseña media debe indicar un nivel intermedio sin confundir al usuario.</t>
  </si>
  <si>
    <t>El mensaje de contraseña fuerte debe comunicar que la clave cumple mejores criterios de seguridad.</t>
  </si>
  <si>
    <t>La interfaz debe evitar que el usuario guarde contraseñas inseguras o incompletas.</t>
  </si>
  <si>
    <t>El sistema debe proteger la contraseña mostrando sus caracteres ocultos por defecto.</t>
  </si>
  <si>
    <t>La opción de mostrar u ocultar contraseña debe mejorar la usabilidad sin comprometer la seguridad.</t>
  </si>
  <si>
    <t>El proceso de cambio de contraseña debe ejecutarse de forma segura.</t>
  </si>
  <si>
    <t>El token o enlace de recuperación debe manejarse de forma confidencial.</t>
  </si>
  <si>
    <t>La nueva contraseña debe almacenarse de forma segura en la base de datos.</t>
  </si>
  <si>
    <t>La actualización de contraseña debe ejecutarse en un tiempo razonable.</t>
  </si>
  <si>
    <t>La interfaz debe mantenerse estable durante la validación y actualización de contraseña.</t>
  </si>
  <si>
    <t>El sistema debe evitar saltos visuales bruscos al mostrar mensajes de seguridad o éxito.</t>
  </si>
  <si>
    <t>Los campos y botones deben conservar tamaño adecuado en diferentes resoluciones.</t>
  </si>
  <si>
    <t>La pantalla debe funcionar correctamente en navegadores modernos.</t>
  </si>
  <si>
    <t>La vista debe ser compatible con Google Chrome, Microsoft Edge y Mozilla Firefox.</t>
  </si>
  <si>
    <t>La tipografía debe mantener consistencia con las demás vistas del sistema.</t>
  </si>
  <si>
    <t>El contraste entre texto, fondo y botones debe permitir una lectura cómoda.</t>
  </si>
  <si>
    <t>Los íconos deben ser comprensibles y coherentes con la acción que representan.</t>
  </si>
  <si>
    <t>El mensaje de éxito debe ser visible y fácil de entender.</t>
  </si>
  <si>
    <t>El flujo de cambio de contraseña debe ser intuitivo para usuarios con conocimientos básicos.</t>
  </si>
  <si>
    <t>El sistema debe minimizar errores mediante validaciones visibles y oportunas.</t>
  </si>
  <si>
    <t>La interfaz debe mantener una apariencia profesional y confiable.</t>
  </si>
  <si>
    <t>El módulo debe integrarse correctamente con el flujo de recuperación de contraseña.</t>
  </si>
  <si>
    <t>El código del módulo de cambio de contraseña debe estar organizado para facilitar mantenimiento.</t>
  </si>
  <si>
    <t>El sistema debe permitir futuras mejoras en las reglas de seguridad de contraseña sin afectar toda la vista.</t>
  </si>
  <si>
    <t>El sistema debe mantener la disponibilidad del formulario mientras el enlace sea válido.</t>
  </si>
  <si>
    <t>El sistema debe garantizar que solo el usuario autorizado pueda cambiar la contraseña de su cuenta.</t>
  </si>
  <si>
    <t>El sistema debe priorizar seguridad, claridad y facilidad de uso durante el cambio de contraseña.</t>
  </si>
  <si>
    <t>El sistema no debe mostrar la contraseña en texto plano sin acción directa del usuario.</t>
  </si>
  <si>
    <t>El enlace de recuperación debe tener vigencia limitada para reducir riesgos de acceso no autorizado.</t>
  </si>
  <si>
    <t>El enlace de recuperación no debe poder reutilizarse después del cambio exitoso de contraseña.</t>
  </si>
  <si>
    <t>El sistema no debe exponer datos sensibles durante el cambio de contraseña.</t>
  </si>
  <si>
    <t>El sistema no debe mostrar información interna del servidor al usuario en caso de error.</t>
  </si>
  <si>
    <t>La contraseña no debe almacenarse en texto plano.</t>
  </si>
  <si>
    <t>El sistema debe aplicar mecanismos de cifrado o hash para proteger la contraseña almacenada.</t>
  </si>
  <si>
    <t>La redirección automática al login debe ejecutarse sin demoras innecesarias.</t>
  </si>
  <si>
    <t>La redirección al login debe informar al usuario lo que está ocurriendo.</t>
  </si>
  <si>
    <t>El módulo debe mantener consistencia visual con las vistas de login y recuperación.</t>
  </si>
  <si>
    <t>El sistema debe impedir operaciones no autorizadas si el token no es válido.</t>
  </si>
  <si>
    <t>El sistema debe mostrar la vista principal del dashboard después del inicio de sesión.</t>
  </si>
  <si>
    <t>El sistema debe mostrar un mensaje de bienvenida personalizado al usuario autenticado.</t>
  </si>
  <si>
    <t>El sistema debe mostrar un resumen general del negocio en el dashboard.</t>
  </si>
  <si>
    <t>El sistema debe mostrar un menú lateral de navegación.</t>
  </si>
  <si>
    <t>El sistema debe incluir en el menú lateral la opción Dashboard.</t>
  </si>
  <si>
    <t>El sistema debe incluir en el menú lateral la opción Pedidos.</t>
  </si>
  <si>
    <t>El sistema debe incluir en el menú lateral la opción Productos.</t>
  </si>
  <si>
    <t>El sistema debe incluir en el menú lateral la opción Vendedores.</t>
  </si>
  <si>
    <t>El sistema debe incluir en el menú lateral la opción Comisiones.</t>
  </si>
  <si>
    <t>El sistema debe incluir en el menú lateral la opción Reportes.</t>
  </si>
  <si>
    <t>El sistema debe incluir en el menú lateral la opción Configuración.</t>
  </si>
  <si>
    <t>El sistema debe resaltar visualmente la opción activa del menú lateral.</t>
  </si>
  <si>
    <t>El sistema debe permitir navegar al módulo Dashboard desde el menú lateral.</t>
  </si>
  <si>
    <t>El sistema debe permitir navegar al módulo Pedidos desde el menú lateral.</t>
  </si>
  <si>
    <t>El sistema debe permitir navegar al módulo Productos desde el menú lateral.</t>
  </si>
  <si>
    <t>El sistema debe permitir navegar al módulo Vendedores desde el menú lateral.</t>
  </si>
  <si>
    <t>El sistema debe permitir navegar al módulo Comisiones desde el menú lateral.</t>
  </si>
  <si>
    <t>El sistema debe permitir navegar al módulo Reportes desde el menú lateral.</t>
  </si>
  <si>
    <t>El sistema debe permitir navegar al módulo Configuración desde el menú lateral.</t>
  </si>
  <si>
    <t>El sistema debe mostrar el nombre o rol del usuario autenticado en la parte superior del dashboard.</t>
  </si>
  <si>
    <t>El sistema debe mostrar un selector o menú de usuario en la parte superior.</t>
  </si>
  <si>
    <t>El sistema debe permitir desplegar opciones del perfil o sesión desde el menú de usuario.</t>
  </si>
  <si>
    <t>El sistema debe mostrar una tarjeta resumen de pedidos totales.</t>
  </si>
  <si>
    <t>El sistema debe mostrar la cantidad total de pedidos registrados.</t>
  </si>
  <si>
    <t>El sistema debe mostrar una tarjeta resumen de ingresos del mes.</t>
  </si>
  <si>
    <t>El sistema debe mostrar el valor acumulado de ingresos del mes actual.</t>
  </si>
  <si>
    <t>El sistema debe mostrar una tarjeta resumen de comisiones pendientes.</t>
  </si>
  <si>
    <t>El sistema debe mostrar el valor total de comisiones pendientes por pagar.</t>
  </si>
  <si>
    <t>El sistema debe mostrar un gráfico de vendedores por universidad.</t>
  </si>
  <si>
    <t>El sistema debe mostrar en el gráfico la cantidad de vendedores agrupados por universidad.</t>
  </si>
  <si>
    <t>El sistema debe mostrar etiquetas o categorías en el gráfico de vendedores por universidad.</t>
  </si>
  <si>
    <t>El sistema debe mostrar una sección de pedidos recientes.</t>
  </si>
  <si>
    <t>El sistema debe mostrar una tabla de pedidos recientes.</t>
  </si>
  <si>
    <t>El sistema debe mostrar en la tabla el número de pedido.</t>
  </si>
  <si>
    <t>El sistema debe mostrar en la tabla el nombre del vendedor.</t>
  </si>
  <si>
    <t>El sistema debe mostrar en la tabla la fecha del pedido.</t>
  </si>
  <si>
    <t>El sistema debe mostrar en la tabla el monto del pedido.</t>
  </si>
  <si>
    <t>El sistema debe mostrar en la tabla el estado del pedido.</t>
  </si>
  <si>
    <t>El sistema debe mostrar los pedidos recientes ordenados según la lógica definida por el sistema.</t>
  </si>
  <si>
    <t>El sistema debe permitir acceder al detalle o listado completo de pedidos desde la opción Ver todos.</t>
  </si>
  <si>
    <t>El sistema debe mostrar la opción Ver todos en la sección de pedidos recientes.</t>
  </si>
  <si>
    <t>El sistema debe permitir redirigir al módulo de pedidos al seleccionar Ver todos.</t>
  </si>
  <si>
    <t>El sistema debe mostrar el botón Cerrar Sesión en la barra lateral.</t>
  </si>
  <si>
    <t>El sistema debe permitir iniciar el flujo de cierre de sesión desde el dashboard.</t>
  </si>
  <si>
    <t>El sistema debe mostrar datos del dashboard solo a usuarios autenticados.</t>
  </si>
  <si>
    <t>El sistema debe cargar la información resumida del negocio al ingresar al dashboard.</t>
  </si>
  <si>
    <t>El sistema debe reflejar en el dashboard los cambios de información registrados en los módulos relacionados.</t>
  </si>
  <si>
    <t>El sistema debe funcionar como punto de acceso rápido a los módulos principales.</t>
  </si>
  <si>
    <t>El sistema debe mostrar información resumida para facilitar la toma de decisiones.</t>
  </si>
  <si>
    <t>El sistema debe presentar la información del negocio en bloques o tarjetas diferenciadas.</t>
  </si>
  <si>
    <t>El sistema debe mostrar iconos representativos en las tarjetas de resumen.</t>
  </si>
  <si>
    <t>El sistema debe mostrar el logo o identidad visual de Mai Shop en la barra lateral.</t>
  </si>
  <si>
    <t>El sistema debe mantener disponible la navegación interna mientras el usuario permanezca autenticado.</t>
  </si>
  <si>
    <t>El sistema debe actualizar los indicadores del dashboard con información real del sistema.</t>
  </si>
  <si>
    <t>El sistema debe mostrar valores por defecto o vacíos cuando no existan datos disponibles.</t>
  </si>
  <si>
    <t>El sistema debe permitir visualizar el dashboard como panel de control principal del sistema.</t>
  </si>
  <si>
    <t>La vista del dashboard debe mantener coherencia visual con la identidad gráfica de Mai Shop.</t>
  </si>
  <si>
    <t>La interfaz del dashboard debe ser clara, limpia y fácil de interpretar.</t>
  </si>
  <si>
    <t>El menú lateral debe conservar una estructura ordenada y legible.</t>
  </si>
  <si>
    <t>La opción activa del menú debe diferenciarse visualmente del resto.</t>
  </si>
  <si>
    <t>Las tarjetas resumen deben ser visualmente destacadas y fáciles de comprender.</t>
  </si>
  <si>
    <t>El gráfico del dashboard debe ser claro y fácil de interpretar.</t>
  </si>
  <si>
    <t>La tabla de pedidos recientes debe mantener buena legibilidad en todas sus columnas.</t>
  </si>
  <si>
    <t>La interfaz debe presentar la información sin saturación visual.</t>
  </si>
  <si>
    <t>La distribución del dashboard debe facilitar una lectura rápida del estado del negocio.</t>
  </si>
  <si>
    <t>El sistema debe cargar el dashboard en un tiempo de respuesta adecuado.</t>
  </si>
  <si>
    <t>La consulta de indicadores del dashboard debe ejecutarse de forma eficiente.</t>
  </si>
  <si>
    <t>El dashboard debe visualizarse correctamente en computadores de escritorio.</t>
  </si>
  <si>
    <t>El dashboard debe adaptarse correctamente a tablets.</t>
  </si>
  <si>
    <t>El dashboard debe adaptarse correctamente a dispositivos móviles, si aplica.</t>
  </si>
  <si>
    <t>El sistema debe ser compatible con Google Chrome, Microsoft Edge y Mozilla Firefox.</t>
  </si>
  <si>
    <t>Los elementos interactivos del dashboard deben responder correctamente al clic.</t>
  </si>
  <si>
    <t>La navegación entre módulos debe ejecutarse sin errores.</t>
  </si>
  <si>
    <t>La opción Ver todos debe redirigir correctamente al módulo correspondiente.</t>
  </si>
  <si>
    <t>El acceso al dashboard debe estar protegido por autenticación.</t>
  </si>
  <si>
    <t>El sistema debe mantener consistencia entre los datos del dashboard y los módulos de origen.</t>
  </si>
  <si>
    <t>La interfaz debe mantener estabilidad visual durante la carga de datos.</t>
  </si>
  <si>
    <t>El dashboard debe manejar adecuadamente escenarios sin información disponible.</t>
  </si>
  <si>
    <t>La vista debe mantener consistencia tipográfica, cromática y de espaciado.</t>
  </si>
  <si>
    <t>Los colores usados en estados, resaltados e indicadores deben ser consistentes.</t>
  </si>
  <si>
    <t>El contraste entre textos, fondos y botones debe facilitar la lectura.</t>
  </si>
  <si>
    <t>El sistema debe permitir mantenimiento sencillo del diseño y de los componentes del dashboard.</t>
  </si>
  <si>
    <t>El código del dashboard debe estar organizado para facilitar su escalabilidad.</t>
  </si>
  <si>
    <t>La solución debe permitir agregar nuevas tarjetas o métricas en el futuro.</t>
  </si>
  <si>
    <t>La solución debe permitir agregar nuevos gráficos o widgets sin afectar la estructura general.</t>
  </si>
  <si>
    <t>El dashboard debe ofrecer una experiencia de usuario intuitiva.</t>
  </si>
  <si>
    <t>El panel debe priorizar claridad, rapidez y facilidad de navegación.</t>
  </si>
  <si>
    <t>El sistema debe mantener una apariencia profesional y confiable.</t>
  </si>
  <si>
    <t>La vista debe minimizar la cantidad de pasos para acceder a información importante.</t>
  </si>
  <si>
    <t>El dashboard debe servir como panel central de monitoreo del sistema.</t>
  </si>
  <si>
    <t>Los indicadores numéricos deben ser legibles y visibles a simple vista.</t>
  </si>
  <si>
    <t>La carga del gráfico y de la tabla no debe degradar la experiencia del usuario.</t>
  </si>
  <si>
    <t>El dashboard no debe mostrar información sensible a usuarios no autenticados.</t>
  </si>
  <si>
    <t>El sistema debe restringir el acceso al dashboard cuando no exista una sesión válida.</t>
  </si>
  <si>
    <t>La información mostrada en el dashboard debe corresponder al estado real de los datos del sistema.</t>
  </si>
  <si>
    <t>El sistema debe permitir acceder al módulo de Pedidos desde el menú lateral.</t>
  </si>
  <si>
    <t>El sistema debe resaltar visualmente la opción Pedidos cuando el usuario se encuentre dentro del módulo.</t>
  </si>
  <si>
    <t>El sistema debe mostrar una vista de Gestión de Pedidos.</t>
  </si>
  <si>
    <t>El sistema debe listar los pedidos registrados en una tabla.</t>
  </si>
  <si>
    <t>El sistema debe mostrar el número identificador de cada pedido.</t>
  </si>
  <si>
    <t>El sistema debe mostrar el contacto telefónico asociado a cada pedido.</t>
  </si>
  <si>
    <t>El sistema debe mostrar el vendedor responsable de cada pedido.</t>
  </si>
  <si>
    <t>El sistema debe mostrar el valor total de cada pedido.</t>
  </si>
  <si>
    <t>El sistema debe mostrar el estado actual de cada pedido.</t>
  </si>
  <si>
    <t>El sistema debe mostrar el estado de pago de cada pedido.</t>
  </si>
  <si>
    <t>El sistema debe mostrar la fecha de creación o registro del pedido.</t>
  </si>
  <si>
    <t>El sistema debe mostrar una sección de acciones para cada pedido.</t>
  </si>
  <si>
    <t>El sistema debe permitir buscar pedidos por nombre del cliente o número telefónico.</t>
  </si>
  <si>
    <t>El sistema debe permitir filtrar pedidos por estado.</t>
  </si>
  <si>
    <t>El sistema debe mostrar las opciones de estado: Todos los estados, Pendiente, En Proceso, Completado y Cancelado.</t>
  </si>
  <si>
    <t>El sistema debe permitir filtrar pedidos por vendedor.</t>
  </si>
  <si>
    <t>El sistema debe mostrar una lista desplegable con los vendedores disponibles.</t>
  </si>
  <si>
    <t>El sistema debe permitir aplicar los filtros mediante el botón Filtrar.</t>
  </si>
  <si>
    <t>El sistema debe permitir limpiar los filtros aplicados mediante el botón Limpiar.</t>
  </si>
  <si>
    <t>El sistema debe actualizar la tabla de pedidos según los filtros seleccionados.</t>
  </si>
  <si>
    <t>El sistema debe permitir visualizar el detalle de un pedido desde la tabla principal.</t>
  </si>
  <si>
    <t>El sistema debe incluir un botón de visualización dentro de las acciones del pedido.</t>
  </si>
  <si>
    <t>El sistema debe permitir cambiar el estado de un pedido desde la tabla de gestión.</t>
  </si>
  <si>
    <t>El sistema debe actualizar el estado del pedido cuando el usuario seleccione una opción válida.</t>
  </si>
  <si>
    <t>El sistema debe permitir eliminar un pedido desde la tabla de gestión.</t>
  </si>
  <si>
    <t>El sistema debe mostrar una ventana modal de confirmación antes de eliminar un pedido.</t>
  </si>
  <si>
    <t>El sistema debe mostrar el título Eliminar Pedido en la ventana de confirmación.</t>
  </si>
  <si>
    <t>El sistema debe mostrar el número del pedido que será eliminado en el mensaje de confirmación.</t>
  </si>
  <si>
    <t>El sistema debe permitir cancelar la eliminación del pedido.</t>
  </si>
  <si>
    <t>El sistema debe mantener el pedido registrado si el usuario selecciona Cancelar.</t>
  </si>
  <si>
    <t>El sistema debe eliminar el pedido únicamente cuando el usuario seleccione Confirmar.</t>
  </si>
  <si>
    <t>El sistema debe permitir cerrar la ventana modal de eliminación sin ejecutar la acción.</t>
  </si>
  <si>
    <t>El sistema debe bloquear temporalmente la interacción con el fondo mientras el modal esté abierto.</t>
  </si>
  <si>
    <t>El sistema debe permitir acceder a una vista detallada del pedido seleccionado.</t>
  </si>
  <si>
    <t>El sistema debe mostrar el número del pedido en la vista de detalle.</t>
  </si>
  <si>
    <t>El sistema debe mostrar la fecha y hora del pedido en la vista de detalle.</t>
  </si>
  <si>
    <t>El sistema debe mostrar el vendedor asociado al pedido en la vista de detalle.</t>
  </si>
  <si>
    <t>El sistema debe mostrar una sección de Información del Vendedor.</t>
  </si>
  <si>
    <t>El sistema debe mostrar el nombre del vendedor.</t>
  </si>
  <si>
    <t>El sistema debe mostrar el correo electrónico del vendedor.</t>
  </si>
  <si>
    <t>El sistema debe mostrar el teléfono de contacto del vendedor.</t>
  </si>
  <si>
    <t>El sistema debe mostrar la dirección de entrega del pedido.</t>
  </si>
  <si>
    <t>El sistema debe mostrar la fecha programada del pedido.</t>
  </si>
  <si>
    <t>El sistema debe mostrar una sección de productos asociados al pedido.</t>
  </si>
  <si>
    <t>El sistema debe listar los productos incluidos en el pedido.</t>
  </si>
  <si>
    <t>El sistema debe mostrar la cantidad solicitada de cada producto.</t>
  </si>
  <si>
    <t>El sistema debe mostrar el precio unitario de cada producto.</t>
  </si>
  <si>
    <t>El sistema debe mostrar el subtotal correspondiente a cada producto.</t>
  </si>
  <si>
    <t>El sistema debe calcular y mostrar el total general del pedido.</t>
  </si>
  <si>
    <t>El sistema debe mostrar una sección de Estado del Pedido.</t>
  </si>
  <si>
    <t>El sistema debe mostrar el estado actual del pedido en la vista de detalle.</t>
  </si>
  <si>
    <t>El sistema debe mostrar el estado de pago del pedido en la vista de detalle.</t>
  </si>
  <si>
    <t>El sistema debe mostrar una sección de Comprobante de Pago.</t>
  </si>
  <si>
    <t>El sistema debe permitir volver a la vista principal de pedidos desde el detalle.</t>
  </si>
  <si>
    <t>El sistema debe incluir un botón Volver en la vista de detalle del pedido.</t>
  </si>
  <si>
    <t>El sistema debe permitir cancelar un pedido desde la vista de detalle.</t>
  </si>
  <si>
    <t>El sistema debe incluir un botón Cancelar Pedido.</t>
  </si>
  <si>
    <t>El sistema debe permitir imprimir la información del pedido.</t>
  </si>
  <si>
    <t>El sistema debe incluir un botón Imprimir en la vista de detalle.</t>
  </si>
  <si>
    <t>El sistema debe generar una vista o acción de impresión con la información relevante del pedido.</t>
  </si>
  <si>
    <t>El sistema debe mantener sincronizada la información del pedido entre la tabla principal y la vista de detalle.</t>
  </si>
  <si>
    <t>El sistema debe reflejar los cambios de estado realizados en el pedido.</t>
  </si>
  <si>
    <t>El sistema debe mostrar los pedidos con estado Pendiente mediante una etiqueta visual.</t>
  </si>
  <si>
    <t>El sistema debe mostrar los pedidos sin pago mediante una etiqueta visual de Sin Pago.</t>
  </si>
  <si>
    <t>El sistema debe permitir gestionar pedidos únicamente a usuarios autenticados.</t>
  </si>
  <si>
    <t>El sistema debe impedir el acceso al módulo de pedidos a usuarios sin sesión activa.</t>
  </si>
  <si>
    <t>El sistema debe conservar la navegación lateral dentro del módulo de pedidos.</t>
  </si>
  <si>
    <t>El sistema debe permitir cerrar sesión desde el módulo de pedidos.</t>
  </si>
  <si>
    <t>El sistema debe mostrar todos los pedidos cuando no haya filtros aplicados.</t>
  </si>
  <si>
    <t>El sistema debe permitir seleccionar un nuevo estado para el pedido desde un control desplegable.</t>
  </si>
  <si>
    <t>El sistema debe mostrar un mensaje indicando que la eliminación del pedido no se puede deshacer.</t>
  </si>
  <si>
    <t>El sistema debe indicar cuando el comprobante de pago no ha sido subido.</t>
  </si>
  <si>
    <t>El sistema debe informar que el vendedor debe subir el comprobante de pago cuando aún no exista.</t>
  </si>
  <si>
    <t>La interfaz del módulo de pedidos debe mantener coherencia visual con la identidad gráfica de Mai Shop.</t>
  </si>
  <si>
    <t>La vista de pedidos debe ser clara, ordenada y fácil de interpretar.</t>
  </si>
  <si>
    <t>La tabla de pedidos debe tener una estructura legible y organizada.</t>
  </si>
  <si>
    <t>Los encabezados de la tabla deben diferenciarse visualmente del contenido.</t>
  </si>
  <si>
    <t>Los estados de pedido deben mostrarse con colores o etiquetas fáciles de identificar.</t>
  </si>
  <si>
    <t>El estado de pago debe mostrarse de forma clara para evitar confusiones.</t>
  </si>
  <si>
    <t>Los botones de acción deben ser visibles y comprensibles para el usuario.</t>
  </si>
  <si>
    <t>Los filtros deben estar ubicados en una zona visible antes de la tabla de pedidos.</t>
  </si>
  <si>
    <t>Los campos de búsqueda y selección deben ser fáciles de usar.</t>
  </si>
  <si>
    <r>
      <t xml:space="preserve">El botón </t>
    </r>
    <r>
      <rPr>
        <b/>
        <sz val="11"/>
        <color theme="1"/>
        <rFont val="Calibri"/>
        <family val="2"/>
      </rPr>
      <t>Filtrar</t>
    </r>
    <r>
      <rPr>
        <sz val="11"/>
        <color theme="1"/>
        <rFont val="Calibri"/>
        <family val="2"/>
      </rPr>
      <t xml:space="preserve"> debe identificarse como la acción principal de búsqueda.</t>
    </r>
  </si>
  <si>
    <r>
      <t xml:space="preserve">El botón </t>
    </r>
    <r>
      <rPr>
        <b/>
        <sz val="11"/>
        <color theme="1"/>
        <rFont val="Calibri"/>
        <family val="2"/>
      </rPr>
      <t>Limpiar</t>
    </r>
    <r>
      <rPr>
        <sz val="11"/>
        <color theme="1"/>
        <rFont val="Calibri"/>
        <family val="2"/>
      </rPr>
      <t xml:space="preserve"> debe diferenciarse visualmente de la acción de filtrado.</t>
    </r>
  </si>
  <si>
    <t>La búsqueda por cliente o teléfono debe ofrecer una experiencia rápida y clara.</t>
  </si>
  <si>
    <t>Los filtros deben responder en un tiempo adecuado.</t>
  </si>
  <si>
    <t>La tabla debe actualizarse sin afectar la estabilidad visual de la página.</t>
  </si>
  <si>
    <t>El módulo debe manejar correctamente los casos donde no existan pedidos registrados.</t>
  </si>
  <si>
    <t>El módulo debe manejar correctamente los casos donde los filtros no encuentren resultados.</t>
  </si>
  <si>
    <t>La vista de detalle del pedido debe presentar la información en secciones claramente diferenciadas.</t>
  </si>
  <si>
    <t>La información del vendedor debe ser fácil de leer.</t>
  </si>
  <si>
    <t>La información de productos debe mantener alineación entre cantidad, precio unitario, subtotal y total.</t>
  </si>
  <si>
    <t>El total del pedido debe destacarse visualmente.</t>
  </si>
  <si>
    <t>La sección de comprobante de pago debe informar claramente si existe o no un comprobante cargado.</t>
  </si>
  <si>
    <t>La ventana modal de eliminación debe ser clara y advertir que la acción es irreversible.</t>
  </si>
  <si>
    <r>
      <t xml:space="preserve">El botón </t>
    </r>
    <r>
      <rPr>
        <b/>
        <sz val="11"/>
        <color theme="1"/>
        <rFont val="Calibri"/>
        <family val="2"/>
      </rPr>
      <t>Confirmar</t>
    </r>
    <r>
      <rPr>
        <sz val="11"/>
        <color theme="1"/>
        <rFont val="Calibri"/>
        <family val="2"/>
      </rPr>
      <t xml:space="preserve"> del modal debe diferenciarse como acción crítica.</t>
    </r>
  </si>
  <si>
    <r>
      <t xml:space="preserve">El botón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 xml:space="preserve"> debe permitir al usuario salir del proceso sin afectar la información.</t>
    </r>
  </si>
  <si>
    <t>El fondo oscurecido del modal debe ayudar a enfocar la atención del usuario.</t>
  </si>
  <si>
    <t>El sistema debe evitar eliminaciones accidentales mediante confirmación previa.</t>
  </si>
  <si>
    <t>La acción de eliminación debe ejecutarse de forma segura y controlada.</t>
  </si>
  <si>
    <t>El sistema no debe eliminar pedidos sin confirmación del usuario.</t>
  </si>
  <si>
    <t>El sistema debe mantener la integridad de los datos relacionados con pedidos, productos, vendedores y pagos.</t>
  </si>
  <si>
    <t>El cambio de estado del pedido debe realizarse de forma consistente.</t>
  </si>
  <si>
    <t>El sistema debe evitar estados inválidos o no contemplados para los pedidos.</t>
  </si>
  <si>
    <t>La información mostrada en el módulo debe corresponder a los datos reales almacenados en el sistema.</t>
  </si>
  <si>
    <t>El acceso al módulo debe estar protegido mediante autenticación.</t>
  </si>
  <si>
    <t>El sistema no debe mostrar información de pedidos a usuarios no autorizados.</t>
  </si>
  <si>
    <t>El módulo debe funcionar correctamente en navegadores modernos.</t>
  </si>
  <si>
    <t>El módulo debe ser compatible con Google Chrome, Microsoft Edge y Mozilla Firefox.</t>
  </si>
  <si>
    <t>La vista de pedidos debe visualizarse correctamente en computadores de escritorio.</t>
  </si>
  <si>
    <t>La vista debe conservar usabilidad en pantallas pequeñas, si aplica.</t>
  </si>
  <si>
    <t>La interfaz debe mantener consistencia en colores, tipografía, espaciado y botones.</t>
  </si>
  <si>
    <t>Los íconos de acciones deben ser comprensibles para el usuario.</t>
  </si>
  <si>
    <t>El botón de impresión debe generar una salida clara y legible.</t>
  </si>
  <si>
    <t>La información impresa del pedido debe conservar una estructura ordenada.</t>
  </si>
  <si>
    <t>El tiempo de carga de la lista de pedidos debe ser adecuado para no afectar la experiencia del usuario.</t>
  </si>
  <si>
    <t>El tiempo de carga del detalle del pedido debe ser razonable.</t>
  </si>
  <si>
    <t>El módulo debe mantener estabilidad durante la consulta, filtrado, actualización o eliminación de pedidos.</t>
  </si>
  <si>
    <t>El sistema debe mostrar retroalimentación visual cuando se realicen acciones importantes.</t>
  </si>
  <si>
    <t>El módulo debe estar diseñado para facilitar mantenimiento y futuras mejoras.</t>
  </si>
  <si>
    <t>El código del módulo de pedidos debe permitir agregar nuevos filtros en el futuro.</t>
  </si>
  <si>
    <t>El código del módulo debe permitir agregar nuevos estados de pedido si el negocio lo requiere.</t>
  </si>
  <si>
    <t>La estructura del módulo debe permitir ampliar la información del pedido sin afectar la interfaz principal.</t>
  </si>
  <si>
    <t>El módulo debe priorizar claridad, seguridad, control de acciones y facilidad de gestión.</t>
  </si>
  <si>
    <t>MÓDULO DASHBOARD PRODUCTOS</t>
  </si>
  <si>
    <r>
      <t xml:space="preserve">El sistema debe permitir acceder al módulo de </t>
    </r>
    <r>
      <rPr>
        <b/>
        <sz val="11"/>
        <color theme="1"/>
        <rFont val="Calibri"/>
        <family val="2"/>
      </rPr>
      <t>Productos</t>
    </r>
    <r>
      <rPr>
        <sz val="11"/>
        <color theme="1"/>
        <rFont val="Calibri"/>
        <family val="2"/>
      </rPr>
      <t xml:space="preserve"> desde el menú lateral.</t>
    </r>
  </si>
  <si>
    <r>
      <t xml:space="preserve">El sistema debe resaltar visualmente la opción </t>
    </r>
    <r>
      <rPr>
        <b/>
        <sz val="11"/>
        <color theme="1"/>
        <rFont val="Calibri"/>
        <family val="2"/>
      </rPr>
      <t>Productos</t>
    </r>
    <r>
      <rPr>
        <sz val="11"/>
        <color theme="1"/>
        <rFont val="Calibri"/>
        <family val="2"/>
      </rPr>
      <t xml:space="preserve"> cuando el usuario se encuentre dentro del módulo.</t>
    </r>
  </si>
  <si>
    <r>
      <t xml:space="preserve">El sistema debe mostrar la vista </t>
    </r>
    <r>
      <rPr>
        <b/>
        <sz val="11"/>
        <color theme="1"/>
        <rFont val="Calibri"/>
        <family val="2"/>
      </rPr>
      <t>Catálogo de Productos</t>
    </r>
    <r>
      <rPr>
        <sz val="11"/>
        <color theme="1"/>
        <rFont val="Calibri"/>
        <family val="2"/>
      </rPr>
      <t>.</t>
    </r>
  </si>
  <si>
    <t>El sistema debe mostrar un título principal del módulo.</t>
  </si>
  <si>
    <t>El sistema debe mostrar un texto descriptivo indicando que se gestionan productos de panadería.</t>
  </si>
  <si>
    <t>El sistema debe mostrar un listado visual de productos en formato de tarjetas.</t>
  </si>
  <si>
    <t>El sistema debe mostrar la imagen de cada producto.</t>
  </si>
  <si>
    <t>El sistema debe mostrar la descripción de cada producto.</t>
  </si>
  <si>
    <t>El sistema debe mostrar el estado del producto mediante una etiqueta visual.</t>
  </si>
  <si>
    <r>
      <t xml:space="preserve">El sistema debe permitir visualizar productos con estado </t>
    </r>
    <r>
      <rPr>
        <b/>
        <sz val="11"/>
        <color theme="1"/>
        <rFont val="Calibri"/>
        <family val="2"/>
      </rPr>
      <t>Activo</t>
    </r>
    <r>
      <rPr>
        <sz val="11"/>
        <color theme="1"/>
        <rFont val="Calibri"/>
        <family val="2"/>
      </rPr>
      <t>.</t>
    </r>
  </si>
  <si>
    <r>
      <t xml:space="preserve">El sistema debe permitir visualizar productos con estado </t>
    </r>
    <r>
      <rPr>
        <b/>
        <sz val="11"/>
        <color theme="1"/>
        <rFont val="Calibri"/>
        <family val="2"/>
      </rPr>
      <t>Inactivo</t>
    </r>
    <r>
      <rPr>
        <sz val="11"/>
        <color theme="1"/>
        <rFont val="Calibri"/>
        <family val="2"/>
      </rPr>
      <t>.</t>
    </r>
  </si>
  <si>
    <t>El sistema debe permitir buscar productos por nombre.</t>
  </si>
  <si>
    <t>El sistema debe mostrar un campo de búsqueda con placeholder de búsqueda de productos.</t>
  </si>
  <si>
    <t>El sistema debe actualizar el listado según el texto ingresado en la búsqueda.</t>
  </si>
  <si>
    <t>El sistema debe permitir filtrar productos por estado.</t>
  </si>
  <si>
    <r>
      <t xml:space="preserve">El sistema debe mostrar las opciones de filtro </t>
    </r>
    <r>
      <rPr>
        <b/>
        <sz val="11"/>
        <color theme="1"/>
        <rFont val="Calibri"/>
        <family val="2"/>
      </rPr>
      <t>Todos los estados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Activos</t>
    </r>
    <r>
      <rPr>
        <sz val="11"/>
        <color theme="1"/>
        <rFont val="Calibri"/>
        <family val="2"/>
      </rPr>
      <t xml:space="preserve"> e </t>
    </r>
    <r>
      <rPr>
        <b/>
        <sz val="11"/>
        <color theme="1"/>
        <rFont val="Calibri"/>
        <family val="2"/>
      </rPr>
      <t>Inactivos</t>
    </r>
    <r>
      <rPr>
        <sz val="11"/>
        <color theme="1"/>
        <rFont val="Calibri"/>
        <family val="2"/>
      </rPr>
      <t>.</t>
    </r>
  </si>
  <si>
    <t>El sistema debe permitir ordenar los productos.</t>
  </si>
  <si>
    <r>
      <t xml:space="preserve">El sistema debe mostrar las opciones de ordenamiento </t>
    </r>
    <r>
      <rPr>
        <b/>
        <sz val="11"/>
        <color theme="1"/>
        <rFont val="Calibri"/>
        <family val="2"/>
      </rPr>
      <t>Nombre (A-Z)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Nombre (Z-A)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Precio (Menor)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Precio (Mayor)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>Más Recientes</t>
    </r>
    <r>
      <rPr>
        <sz val="11"/>
        <color theme="1"/>
        <rFont val="Calibri"/>
        <family val="2"/>
      </rPr>
      <t>.</t>
    </r>
  </si>
  <si>
    <t>El sistema debe actualizar el catálogo de productos según el criterio de ordenamiento seleccionado.</t>
  </si>
  <si>
    <t>El sistema debe permitir limpiar los filtros o búsquedas aplicadas.</t>
  </si>
  <si>
    <r>
      <t xml:space="preserve">El sistema debe mostrar un botón o acción de </t>
    </r>
    <r>
      <rPr>
        <b/>
        <sz val="11"/>
        <color theme="1"/>
        <rFont val="Calibri"/>
        <family val="2"/>
      </rPr>
      <t>Limpiar</t>
    </r>
    <r>
      <rPr>
        <sz val="11"/>
        <color theme="1"/>
        <rFont val="Calibri"/>
        <family val="2"/>
      </rPr>
      <t>.</t>
    </r>
  </si>
  <si>
    <t>El sistema debe restaurar el listado completo de productos al limpiar filtros.</t>
  </si>
  <si>
    <t>El sistema debe permitir crear un nuevo producto.</t>
  </si>
  <si>
    <r>
      <t xml:space="preserve">El sistema debe mostrar un botón </t>
    </r>
    <r>
      <rPr>
        <b/>
        <sz val="11"/>
        <color theme="1"/>
        <rFont val="Calibri"/>
        <family val="2"/>
      </rPr>
      <t>Nuevo Producto</t>
    </r>
    <r>
      <rPr>
        <sz val="11"/>
        <color theme="1"/>
        <rFont val="Calibri"/>
        <family val="2"/>
      </rPr>
      <t>.</t>
    </r>
  </si>
  <si>
    <r>
      <t xml:space="preserve">El sistema debe redirigir al formulario de creación de producto al seleccionar </t>
    </r>
    <r>
      <rPr>
        <b/>
        <sz val="11"/>
        <color theme="1"/>
        <rFont val="Calibri"/>
        <family val="2"/>
      </rPr>
      <t>Nuevo Producto</t>
    </r>
    <r>
      <rPr>
        <sz val="11"/>
        <color theme="1"/>
        <rFont val="Calibri"/>
        <family val="2"/>
      </rPr>
      <t>.</t>
    </r>
  </si>
  <si>
    <r>
      <t xml:space="preserve">El sistema debe mostrar una opción para </t>
    </r>
    <r>
      <rPr>
        <b/>
        <sz val="11"/>
        <color theme="1"/>
        <rFont val="Calibri"/>
        <family val="2"/>
      </rPr>
      <t>Volver a productos</t>
    </r>
    <r>
      <rPr>
        <sz val="11"/>
        <color theme="1"/>
        <rFont val="Calibri"/>
        <family val="2"/>
      </rPr>
      <t xml:space="preserve"> desde el formulario de creación.</t>
    </r>
  </si>
  <si>
    <t>El sistema debe mostrar un formulario de registro de producto.</t>
  </si>
  <si>
    <r>
      <t xml:space="preserve">El sistema debe incluir un campo para </t>
    </r>
    <r>
      <rPr>
        <b/>
        <sz val="11"/>
        <color theme="1"/>
        <rFont val="Calibri"/>
        <family val="2"/>
      </rPr>
      <t>Nombre del Producto</t>
    </r>
    <r>
      <rPr>
        <sz val="11"/>
        <color theme="1"/>
        <rFont val="Calibri"/>
        <family val="2"/>
      </rPr>
      <t>.</t>
    </r>
  </si>
  <si>
    <r>
      <t xml:space="preserve">El sistema debe incluir un campo para </t>
    </r>
    <r>
      <rPr>
        <b/>
        <sz val="11"/>
        <color theme="1"/>
        <rFont val="Calibri"/>
        <family val="2"/>
      </rPr>
      <t>Descripción</t>
    </r>
    <r>
      <rPr>
        <sz val="11"/>
        <color theme="1"/>
        <rFont val="Calibri"/>
        <family val="2"/>
      </rPr>
      <t>.</t>
    </r>
  </si>
  <si>
    <r>
      <t xml:space="preserve">El sistema debe incluir un campo para </t>
    </r>
    <r>
      <rPr>
        <b/>
        <sz val="11"/>
        <color theme="1"/>
        <rFont val="Calibri"/>
        <family val="2"/>
      </rPr>
      <t>Precio</t>
    </r>
    <r>
      <rPr>
        <sz val="11"/>
        <color theme="1"/>
        <rFont val="Calibri"/>
        <family val="2"/>
      </rPr>
      <t>.</t>
    </r>
  </si>
  <si>
    <r>
      <t xml:space="preserve">El sistema debe incluir un campo para cargar la </t>
    </r>
    <r>
      <rPr>
        <b/>
        <sz val="11"/>
        <color theme="1"/>
        <rFont val="Calibri"/>
        <family val="2"/>
      </rPr>
      <t>Imagen del Producto</t>
    </r>
    <r>
      <rPr>
        <sz val="11"/>
        <color theme="1"/>
        <rFont val="Calibri"/>
        <family val="2"/>
      </rPr>
      <t>.</t>
    </r>
  </si>
  <si>
    <t>El sistema debe indicar que la imagen del producto es opcional.</t>
  </si>
  <si>
    <r>
      <t xml:space="preserve">El sistema debe incluir un campo para seleccionar el </t>
    </r>
    <r>
      <rPr>
        <b/>
        <sz val="11"/>
        <color theme="1"/>
        <rFont val="Calibri"/>
        <family val="2"/>
      </rPr>
      <t>Estado</t>
    </r>
    <r>
      <rPr>
        <sz val="11"/>
        <color theme="1"/>
        <rFont val="Calibri"/>
        <family val="2"/>
      </rPr>
      <t xml:space="preserve"> del producto.</t>
    </r>
  </si>
  <si>
    <r>
      <t xml:space="preserve">El sistema debe permitir seleccionar el estado </t>
    </r>
    <r>
      <rPr>
        <b/>
        <sz val="11"/>
        <color theme="1"/>
        <rFont val="Calibri"/>
        <family val="2"/>
      </rPr>
      <t>Activo</t>
    </r>
    <r>
      <rPr>
        <sz val="11"/>
        <color theme="1"/>
        <rFont val="Calibri"/>
        <family val="2"/>
      </rPr>
      <t>.</t>
    </r>
  </si>
  <si>
    <r>
      <t xml:space="preserve">El sistema debe permitir seleccionar el estado </t>
    </r>
    <r>
      <rPr>
        <b/>
        <sz val="11"/>
        <color theme="1"/>
        <rFont val="Calibri"/>
        <family val="2"/>
      </rPr>
      <t>Inactivo</t>
    </r>
    <r>
      <rPr>
        <sz val="11"/>
        <color theme="1"/>
        <rFont val="Calibri"/>
        <family val="2"/>
      </rPr>
      <t>.</t>
    </r>
  </si>
  <si>
    <r>
      <t xml:space="preserve">El sistema debe mostrar un botón </t>
    </r>
    <r>
      <rPr>
        <b/>
        <sz val="11"/>
        <color theme="1"/>
        <rFont val="Calibri"/>
        <family val="2"/>
      </rPr>
      <t>Crear Producto</t>
    </r>
    <r>
      <rPr>
        <sz val="11"/>
        <color theme="1"/>
        <rFont val="Calibri"/>
        <family val="2"/>
      </rPr>
      <t>.</t>
    </r>
  </si>
  <si>
    <t>El sistema debe validar que el nombre del producto sea obligatorio.</t>
  </si>
  <si>
    <t>El sistema debe validar que la descripción del producto sea obligatoria, según la lógica definida.</t>
  </si>
  <si>
    <t>El sistema debe validar que el precio del producto sea obligatorio.</t>
  </si>
  <si>
    <t>El sistema debe validar que el precio ingresado sea numérico.</t>
  </si>
  <si>
    <t>El sistema debe validar que el precio sea mayor o igual a cero.</t>
  </si>
  <si>
    <t>El sistema debe permitir registrar un producto cuando los datos ingresados sean válidos.</t>
  </si>
  <si>
    <t>El sistema debe guardar la información del nuevo producto en el sistema.</t>
  </si>
  <si>
    <t>El sistema debe reflejar el nuevo producto en el catálogo después de su creación.</t>
  </si>
  <si>
    <t>El sistema debe permitir editar un producto existente.</t>
  </si>
  <si>
    <t>El sistema debe mostrar una acción de edición en cada tarjeta de producto.</t>
  </si>
  <si>
    <t>El sistema debe redirigir al formulario de edición al seleccionar la acción de editar.</t>
  </si>
  <si>
    <r>
      <t xml:space="preserve">El sistema debe mostrar una vista </t>
    </r>
    <r>
      <rPr>
        <b/>
        <sz val="11"/>
        <color theme="1"/>
        <rFont val="Calibri"/>
        <family val="2"/>
      </rPr>
      <t>Editar Producto</t>
    </r>
    <r>
      <rPr>
        <sz val="11"/>
        <color theme="1"/>
        <rFont val="Calibri"/>
        <family val="2"/>
      </rPr>
      <t>.</t>
    </r>
  </si>
  <si>
    <t>El sistema debe cargar automáticamente los datos actuales del producto en el formulario de edición.</t>
  </si>
  <si>
    <t>El sistema debe mostrar el nombre actual del producto en el campo correspondiente.</t>
  </si>
  <si>
    <t>El sistema debe mostrar la descripción actual del producto en el campo correspondiente.</t>
  </si>
  <si>
    <t>El sistema debe mostrar el precio actual del producto en el campo correspondiente.</t>
  </si>
  <si>
    <t>El sistema debe mostrar la imagen actual del producto en la vista de edición, si existe.</t>
  </si>
  <si>
    <t>El sistema debe permitir reemplazar la imagen actual por una nueva imagen.</t>
  </si>
  <si>
    <t>El sistema debe permitir modificar el estado del producto en la edición.</t>
  </si>
  <si>
    <r>
      <t xml:space="preserve">El sistema debe mostrar un botón </t>
    </r>
    <r>
      <rPr>
        <b/>
        <sz val="11"/>
        <color theme="1"/>
        <rFont val="Calibri"/>
        <family val="2"/>
      </rPr>
      <t>Guardar Cambios</t>
    </r>
    <r>
      <rPr>
        <sz val="11"/>
        <color theme="1"/>
        <rFont val="Calibri"/>
        <family val="2"/>
      </rPr>
      <t>.</t>
    </r>
  </si>
  <si>
    <t>El sistema debe actualizar la información del producto cuando se guarden cambios válidos.</t>
  </si>
  <si>
    <t>El sistema debe mostrar un mensaje de confirmación cuando el producto se actualice correctamente.</t>
  </si>
  <si>
    <r>
      <t xml:space="preserve">El sistema debe mostrar el mensaje </t>
    </r>
    <r>
      <rPr>
        <b/>
        <sz val="11"/>
        <color theme="1"/>
        <rFont val="Calibri"/>
        <family val="2"/>
      </rPr>
      <t>Producto actualizado exitosamente</t>
    </r>
    <r>
      <rPr>
        <sz val="11"/>
        <color theme="1"/>
        <rFont val="Calibri"/>
        <family val="2"/>
      </rPr>
      <t xml:space="preserve"> después de una edición exitosa.</t>
    </r>
  </si>
  <si>
    <t>El sistema debe permitir cerrar el mensaje de confirmación de actualización.</t>
  </si>
  <si>
    <t>El sistema debe reflejar en el catálogo los cambios realizados al producto editado.</t>
  </si>
  <si>
    <t>El sistema debe permitir eliminar un producto existente.</t>
  </si>
  <si>
    <t>El sistema debe mostrar una acción de eliminación en cada tarjeta de producto.</t>
  </si>
  <si>
    <t>El sistema debe mostrar una ventana modal de confirmación antes de eliminar un producto.</t>
  </si>
  <si>
    <r>
      <t xml:space="preserve">El sistema debe mostrar el título </t>
    </r>
    <r>
      <rPr>
        <b/>
        <sz val="11"/>
        <color theme="1"/>
        <rFont val="Calibri"/>
        <family val="2"/>
      </rPr>
      <t>Eliminar Producto</t>
    </r>
    <r>
      <rPr>
        <sz val="11"/>
        <color theme="1"/>
        <rFont val="Calibri"/>
        <family val="2"/>
      </rPr>
      <t xml:space="preserve"> en la ventana modal.</t>
    </r>
  </si>
  <si>
    <t>El sistema debe mostrar un mensaje de advertencia indicando que la eliminación no se puede deshacer.</t>
  </si>
  <si>
    <t>El sistema debe mostrar el nombre del producto que se va a eliminar en el mensaje de confirmación.</t>
  </si>
  <si>
    <r>
      <t xml:space="preserve">El sistema debe mostrar un botón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 xml:space="preserve"> en la ventana modal.</t>
    </r>
  </si>
  <si>
    <r>
      <t xml:space="preserve">El sistema debe mostrar un botón </t>
    </r>
    <r>
      <rPr>
        <b/>
        <sz val="11"/>
        <color theme="1"/>
        <rFont val="Calibri"/>
        <family val="2"/>
      </rPr>
      <t>Eliminar</t>
    </r>
    <r>
      <rPr>
        <sz val="11"/>
        <color theme="1"/>
        <rFont val="Calibri"/>
        <family val="2"/>
      </rPr>
      <t xml:space="preserve"> en la ventana modal.</t>
    </r>
  </si>
  <si>
    <t>El sistema debe permitir cerrar la ventana modal sin eliminar el producto.</t>
  </si>
  <si>
    <r>
      <t xml:space="preserve">El sistema debe mantener el producto registrado si el usuario selecciona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>.</t>
    </r>
  </si>
  <si>
    <t>El sistema debe eliminar el producto únicamente cuando el usuario confirme la acción.</t>
  </si>
  <si>
    <t>El sistema debe retirar el producto eliminado del catálogo.</t>
  </si>
  <si>
    <t>El sistema debe mostrar el catálogo actualizado después de una eliminación.</t>
  </si>
  <si>
    <t>El sistema debe permitir navegar entre el catálogo, la creación y la edición de productos.</t>
  </si>
  <si>
    <t>El sistema debe mostrar únicamente la información de productos a usuarios autenticados.</t>
  </si>
  <si>
    <t>El sistema debe permitir cerrar sesión desde el módulo de productos.</t>
  </si>
  <si>
    <t>La interfaz del módulo de productos debe mantener coherencia visual con la identidad gráfica de Mai Shop.</t>
  </si>
  <si>
    <t>La vista del catálogo debe ser clara, ordenada y fácil de interpretar.</t>
  </si>
  <si>
    <t>Las tarjetas de productos deben tener un diseño uniforme.</t>
  </si>
  <si>
    <t>La información de cada producto debe ser legible dentro de su tarjeta.</t>
  </si>
  <si>
    <t>El nombre, la descripción y el precio deben distinguirse visualmente.</t>
  </si>
  <si>
    <t>La etiqueta de estado debe ser visible y fácil de identificar.</t>
  </si>
  <si>
    <t>Los productos activos e inactivos deben diferenciarse claramente.</t>
  </si>
  <si>
    <t>El campo de búsqueda debe ser visible y fácil de usar.</t>
  </si>
  <si>
    <t>Los filtros de estado y ordenamiento deben estar ubicados en una zona accesible de la interfaz.</t>
  </si>
  <si>
    <r>
      <t xml:space="preserve">El botón </t>
    </r>
    <r>
      <rPr>
        <b/>
        <sz val="11"/>
        <color theme="1"/>
        <rFont val="Calibri"/>
        <family val="2"/>
      </rPr>
      <t>Nuevo Producto</t>
    </r>
    <r>
      <rPr>
        <sz val="11"/>
        <color theme="1"/>
        <rFont val="Calibri"/>
        <family val="2"/>
      </rPr>
      <t xml:space="preserve"> debe destacarse como acción principal del módulo.</t>
    </r>
  </si>
  <si>
    <t>Las acciones de editar y eliminar deben ser comprensibles mediante sus íconos o controles.</t>
  </si>
  <si>
    <t>El formulario de creación debe estar organizado de forma clara.</t>
  </si>
  <si>
    <t>El formulario de edición debe mantener una estructura clara y consistente.</t>
  </si>
  <si>
    <t>Los campos del formulario deben estar correctamente etiquetados.</t>
  </si>
  <si>
    <t>Los mensajes de validación deben ser claros y comprensibles.</t>
  </si>
  <si>
    <r>
      <t xml:space="preserve">El mensaje </t>
    </r>
    <r>
      <rPr>
        <b/>
        <sz val="11"/>
        <color theme="1"/>
        <rFont val="Calibri"/>
        <family val="2"/>
      </rPr>
      <t>Producto actualizado exitosamente</t>
    </r>
    <r>
      <rPr>
        <sz val="11"/>
        <color theme="1"/>
        <rFont val="Calibri"/>
        <family val="2"/>
      </rPr>
      <t xml:space="preserve"> debe mostrarse de forma visible y entendible.</t>
    </r>
  </si>
  <si>
    <t>La ventana modal de eliminación debe advertir claramente que la acción es irreversible.</t>
  </si>
  <si>
    <t>El botón de confirmación de eliminación debe diferenciarse visualmente como acción crítica.</t>
  </si>
  <si>
    <t>El módulo debe responder en un tiempo adecuado al cargar el catálogo.</t>
  </si>
  <si>
    <t>La búsqueda de productos debe ejecutarse en un tiempo razonable.</t>
  </si>
  <si>
    <t>El filtrado y ordenamiento de productos deben ejecutarse sin demoras innecesarias.</t>
  </si>
  <si>
    <t>La creación de productos debe procesarse de forma eficiente.</t>
  </si>
  <si>
    <t>La edición de productos debe procesarse de forma eficiente.</t>
  </si>
  <si>
    <t>La eliminación de productos debe procesarse de forma eficiente.</t>
  </si>
  <si>
    <t>El catálogo debe actualizarse sin afectar la estabilidad visual de la página.</t>
  </si>
  <si>
    <t>La vista de productos debe visualizarse correctamente en computadores de escritorio.</t>
  </si>
  <si>
    <t>La vista debe conservar usabilidad en resoluciones pequeñas, si aplica.</t>
  </si>
  <si>
    <t>Las imágenes de productos deben visualizarse correctamente sin deformaciones graves.</t>
  </si>
  <si>
    <t>El sistema debe manejar correctamente casos en los que un producto no tenga imagen.</t>
  </si>
  <si>
    <t>El módulo debe manejar correctamente casos en los que no existan productos registrados.</t>
  </si>
  <si>
    <t>El módulo debe manejar correctamente casos en los que la búsqueda no arroje resultados.</t>
  </si>
  <si>
    <t>El sistema debe proteger el acceso al módulo de productos mediante autenticación.</t>
  </si>
  <si>
    <t>El sistema no debe mostrar información del catálogo administrativo a usuarios no autorizados.</t>
  </si>
  <si>
    <t>El sistema debe mantener integridad en los datos de productos durante la creación, edición y eliminación.</t>
  </si>
  <si>
    <t>El precio del producto debe validarse para evitar datos inconsistentes.</t>
  </si>
  <si>
    <t>La carga de imágenes debe manejarse de forma segura.</t>
  </si>
  <si>
    <t>El sistema no debe permitir archivos no válidos si existe restricción de formato de imagen.</t>
  </si>
  <si>
    <t>El módulo debe mantener consistencia entre el catálogo y los formularios de creación y edición.</t>
  </si>
  <si>
    <t>La interfaz debe conservar consistencia en colores, tipografía, espaciado y botones.</t>
  </si>
  <si>
    <t>La navegación entre catálogo, creación y edición debe ejecutarse sin errores.</t>
  </si>
  <si>
    <t>El sistema debe mostrar retroalimentación visual clara ante acciones exitosas o de confirmación.</t>
  </si>
  <si>
    <t>El código del módulo debe estar organizado para facilitar mantenimiento.</t>
  </si>
  <si>
    <t>El módulo debe permitir escalabilidad para agregar nuevos filtros o campos en el futuro.</t>
  </si>
  <si>
    <t>La solución debe priorizar claridad, control, facilidad de gestión y buena experiencia de usuario.</t>
  </si>
  <si>
    <r>
      <t xml:space="preserve">El sistema debe permitir acceder al módulo de </t>
    </r>
    <r>
      <rPr>
        <b/>
        <sz val="11"/>
        <color theme="1"/>
        <rFont val="Calibri"/>
        <family val="2"/>
      </rPr>
      <t>Vendedores</t>
    </r>
    <r>
      <rPr>
        <sz val="11"/>
        <color theme="1"/>
        <rFont val="Calibri"/>
        <family val="2"/>
      </rPr>
      <t xml:space="preserve"> desde el menú lateral.</t>
    </r>
  </si>
  <si>
    <r>
      <t xml:space="preserve">El sistema debe resaltar visualmente la opción </t>
    </r>
    <r>
      <rPr>
        <b/>
        <sz val="11"/>
        <color theme="1"/>
        <rFont val="Calibri"/>
        <family val="2"/>
      </rPr>
      <t>Vendedores</t>
    </r>
    <r>
      <rPr>
        <sz val="11"/>
        <color theme="1"/>
        <rFont val="Calibri"/>
        <family val="2"/>
      </rPr>
      <t xml:space="preserve"> cuando el usuario se encuentre dentro del módulo.</t>
    </r>
  </si>
  <si>
    <r>
      <t xml:space="preserve">El sistema debe mostrar la vista </t>
    </r>
    <r>
      <rPr>
        <b/>
        <sz val="11"/>
        <color theme="1"/>
        <rFont val="Calibri"/>
        <family val="2"/>
      </rPr>
      <t>Equipo de Vendedores</t>
    </r>
    <r>
      <rPr>
        <sz val="11"/>
        <color theme="1"/>
        <rFont val="Calibri"/>
        <family val="2"/>
      </rPr>
      <t>.</t>
    </r>
  </si>
  <si>
    <t>El sistema debe mostrar un texto descriptivo indicando que el módulo permite gestionar el equipo universitario de ventas.</t>
  </si>
  <si>
    <t>El sistema debe mostrar una tarjeta resumen con la cantidad de vendedores activos.</t>
  </si>
  <si>
    <t>El sistema debe mostrar una tarjeta resumen con el total de ventas generadas.</t>
  </si>
  <si>
    <t>El sistema debe mostrar una tarjeta resumen con las comisiones generadas.</t>
  </si>
  <si>
    <t>El sistema debe mostrar una tarjeta resumen con el valor pendiente por pagar.</t>
  </si>
  <si>
    <t>El sistema debe actualizar los indicadores del módulo según la información registrada de los vendedores.</t>
  </si>
  <si>
    <t>El sistema debe mostrar un campo de búsqueda para encontrar vendedores.</t>
  </si>
  <si>
    <t>El sistema debe permitir buscar vendedores por nombre u otra información asociada.</t>
  </si>
  <si>
    <t>El sistema debe permitir filtrar vendedores por estado.</t>
  </si>
  <si>
    <r>
      <t xml:space="preserve">El sistema debe mostrar las opciones de estado </t>
    </r>
    <r>
      <rPr>
        <b/>
        <sz val="11"/>
        <color theme="1"/>
        <rFont val="Calibri"/>
        <family val="2"/>
      </rPr>
      <t>Todos los estados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Activos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Inactivos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>Eliminados</t>
    </r>
    <r>
      <rPr>
        <sz val="11"/>
        <color theme="1"/>
        <rFont val="Calibri"/>
        <family val="2"/>
      </rPr>
      <t>.</t>
    </r>
  </si>
  <si>
    <t>El sistema debe permitir filtrar vendedores por universidad.</t>
  </si>
  <si>
    <t>El sistema debe mostrar las opciones de universidad disponibles en el sistema.</t>
  </si>
  <si>
    <r>
      <t xml:space="preserve">El sistema debe mostrar la opción </t>
    </r>
    <r>
      <rPr>
        <b/>
        <sz val="11"/>
        <color theme="1"/>
        <rFont val="Calibri"/>
        <family val="2"/>
      </rPr>
      <t>Todas las universidades</t>
    </r>
    <r>
      <rPr>
        <sz val="11"/>
        <color theme="1"/>
        <rFont val="Calibri"/>
        <family val="2"/>
      </rPr>
      <t xml:space="preserve"> dentro del filtro de universidad.</t>
    </r>
  </si>
  <si>
    <t>El sistema debe actualizar el listado de vendedores según los filtros seleccionados.</t>
  </si>
  <si>
    <t>El sistema debe mostrar tarjetas individuales para cada vendedor registrado.</t>
  </si>
  <si>
    <t>El sistema debe mostrar las iniciales del vendedor dentro de su tarjeta.</t>
  </si>
  <si>
    <t>El sistema debe mostrar el nombre completo del vendedor.</t>
  </si>
  <si>
    <t>El sistema debe mostrar el número de documento del vendedor.</t>
  </si>
  <si>
    <t>El sistema debe mostrar la universidad asociada al vendedor.</t>
  </si>
  <si>
    <t>El sistema debe mostrar el porcentaje de comisión asignado al vendedor.</t>
  </si>
  <si>
    <t>El sistema debe mostrar el estado de la cuenta del vendedor.</t>
  </si>
  <si>
    <t>El sistema debe mostrar el total de ventas del vendedor.</t>
  </si>
  <si>
    <t>El sistema debe mostrar el total de comisiones del vendedor.</t>
  </si>
  <si>
    <t>El sistema debe mostrar el valor pendiente por pagar al vendedor.</t>
  </si>
  <si>
    <t>El sistema debe mostrar acciones disponibles para cada vendedor.</t>
  </si>
  <si>
    <t>El sistema debe permitir visualizar el detalle de un vendedor.</t>
  </si>
  <si>
    <t>El sistema debe permitir editar la información de un vendedor.</t>
  </si>
  <si>
    <t>El sistema debe permitir eliminar un vendedor.</t>
  </si>
  <si>
    <t>El sistema debe mostrar una ventana modal de confirmación antes de eliminar un vendedor.</t>
  </si>
  <si>
    <r>
      <t xml:space="preserve">El sistema debe mostrar el título </t>
    </r>
    <r>
      <rPr>
        <b/>
        <sz val="11"/>
        <color theme="1"/>
        <rFont val="Calibri"/>
        <family val="2"/>
      </rPr>
      <t>Eliminar Vendedor</t>
    </r>
    <r>
      <rPr>
        <sz val="11"/>
        <color theme="1"/>
        <rFont val="Calibri"/>
        <family val="2"/>
      </rPr>
      <t xml:space="preserve"> en la ventana modal.</t>
    </r>
  </si>
  <si>
    <t>El sistema debe mostrar un mensaje indicando que la eliminación del vendedor no se puede deshacer de forma simple.</t>
  </si>
  <si>
    <t>El sistema debe mostrar el nombre del vendedor que será eliminado.</t>
  </si>
  <si>
    <t>El sistema debe permitir cancelar la eliminación del vendedor.</t>
  </si>
  <si>
    <r>
      <t xml:space="preserve">El sistema debe conservar el vendedor registrado si el usuario selecciona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>.</t>
    </r>
  </si>
  <si>
    <r>
      <t xml:space="preserve">El sistema debe eliminar el vendedor únicamente si el usuario selecciona </t>
    </r>
    <r>
      <rPr>
        <b/>
        <sz val="11"/>
        <color theme="1"/>
        <rFont val="Calibri"/>
        <family val="2"/>
      </rPr>
      <t>Eliminar</t>
    </r>
    <r>
      <rPr>
        <sz val="11"/>
        <color theme="1"/>
        <rFont val="Calibri"/>
        <family val="2"/>
      </rPr>
      <t>.</t>
    </r>
  </si>
  <si>
    <t>El sistema debe permitir cerrar la ventana modal sin eliminar el vendedor.</t>
  </si>
  <si>
    <r>
      <t xml:space="preserve">El sistema debe mostrar un botón </t>
    </r>
    <r>
      <rPr>
        <b/>
        <sz val="11"/>
        <color theme="1"/>
        <rFont val="Calibri"/>
        <family val="2"/>
      </rPr>
      <t>Nuevo Vendedor</t>
    </r>
    <r>
      <rPr>
        <sz val="11"/>
        <color theme="1"/>
        <rFont val="Calibri"/>
        <family val="2"/>
      </rPr>
      <t>.</t>
    </r>
  </si>
  <si>
    <r>
      <t xml:space="preserve">El sistema debe redirigir al formulario de creación al seleccionar </t>
    </r>
    <r>
      <rPr>
        <b/>
        <sz val="11"/>
        <color theme="1"/>
        <rFont val="Calibri"/>
        <family val="2"/>
      </rPr>
      <t>Nuevo Vendedor</t>
    </r>
    <r>
      <rPr>
        <sz val="11"/>
        <color theme="1"/>
        <rFont val="Calibri"/>
        <family val="2"/>
      </rPr>
      <t>.</t>
    </r>
  </si>
  <si>
    <r>
      <t xml:space="preserve">El sistema debe mostrar la vista </t>
    </r>
    <r>
      <rPr>
        <b/>
        <sz val="11"/>
        <color theme="1"/>
        <rFont val="Calibri"/>
        <family val="2"/>
      </rPr>
      <t>Nuevo Vendedor</t>
    </r>
    <r>
      <rPr>
        <sz val="11"/>
        <color theme="1"/>
        <rFont val="Calibri"/>
        <family val="2"/>
      </rPr>
      <t>.</t>
    </r>
  </si>
  <si>
    <t>El sistema debe mostrar una opción para volver al equipo de vendedores.</t>
  </si>
  <si>
    <t>El sistema debe permitir regresar al listado de vendedores desde el formulario.</t>
  </si>
  <si>
    <r>
      <t xml:space="preserve">El sistema debe mostrar una sección de </t>
    </r>
    <r>
      <rPr>
        <b/>
        <sz val="11"/>
        <color theme="1"/>
        <rFont val="Calibri"/>
        <family val="2"/>
      </rPr>
      <t>Datos Personales</t>
    </r>
    <r>
      <rPr>
        <sz val="11"/>
        <color theme="1"/>
        <rFont val="Calibri"/>
        <family val="2"/>
      </rPr>
      <t xml:space="preserve"> en el formulario de creación.</t>
    </r>
  </si>
  <si>
    <t>El sistema debe permitir ingresar el nombre del vendedor.</t>
  </si>
  <si>
    <t>El sistema debe permitir ingresar el apellido del vendedor.</t>
  </si>
  <si>
    <t>El sistema debe permitir seleccionar el tipo de documento.</t>
  </si>
  <si>
    <t>El sistema debe permitir ingresar el número de documento.</t>
  </si>
  <si>
    <r>
      <t xml:space="preserve">El sistema debe mostrar una sección de </t>
    </r>
    <r>
      <rPr>
        <b/>
        <sz val="11"/>
        <color theme="1"/>
        <rFont val="Calibri"/>
        <family val="2"/>
      </rPr>
      <t>Información de Contacto</t>
    </r>
    <r>
      <rPr>
        <sz val="11"/>
        <color theme="1"/>
        <rFont val="Calibri"/>
        <family val="2"/>
      </rPr>
      <t>.</t>
    </r>
  </si>
  <si>
    <t>El sistema debe permitir ingresar el correo electrónico del vendedor.</t>
  </si>
  <si>
    <t>El sistema debe permitir ingresar el teléfono o WhatsApp del vendedor.</t>
  </si>
  <si>
    <t>El sistema debe permitir ingresar la universidad del vendedor.</t>
  </si>
  <si>
    <r>
      <t xml:space="preserve">El sistema debe mostrar una sección de </t>
    </r>
    <r>
      <rPr>
        <b/>
        <sz val="11"/>
        <color theme="1"/>
        <rFont val="Calibri"/>
        <family val="2"/>
      </rPr>
      <t>Credenciales de Acceso</t>
    </r>
    <r>
      <rPr>
        <sz val="11"/>
        <color theme="1"/>
        <rFont val="Calibri"/>
        <family val="2"/>
      </rPr>
      <t>.</t>
    </r>
  </si>
  <si>
    <t>El sistema debe permitir ingresar una contraseña para el vendedor.</t>
  </si>
  <si>
    <t>El sistema debe validar que la contraseña tenga mínimo 8 caracteres.</t>
  </si>
  <si>
    <r>
      <t xml:space="preserve">El sistema debe mostrar una sección de </t>
    </r>
    <r>
      <rPr>
        <b/>
        <sz val="11"/>
        <color theme="1"/>
        <rFont val="Calibri"/>
        <family val="2"/>
      </rPr>
      <t>Configuración</t>
    </r>
    <r>
      <rPr>
        <sz val="11"/>
        <color theme="1"/>
        <rFont val="Calibri"/>
        <family val="2"/>
      </rPr>
      <t>.</t>
    </r>
  </si>
  <si>
    <t>El sistema debe permitir seleccionar el estado inicial de la cuenta del vendedor.</t>
  </si>
  <si>
    <t>El sistema debe permitir crear un vendedor con estado activo.</t>
  </si>
  <si>
    <t>El sistema debe permitir crear un vendedor con estado inactivo, si la lógica del sistema lo permite.</t>
  </si>
  <si>
    <r>
      <t xml:space="preserve">El sistema debe mostrar el botón </t>
    </r>
    <r>
      <rPr>
        <b/>
        <sz val="11"/>
        <color theme="1"/>
        <rFont val="Calibri"/>
        <family val="2"/>
      </rPr>
      <t>Crear Vendedor</t>
    </r>
    <r>
      <rPr>
        <sz val="11"/>
        <color theme="1"/>
        <rFont val="Calibri"/>
        <family val="2"/>
      </rPr>
      <t>.</t>
    </r>
  </si>
  <si>
    <t>El sistema debe registrar el vendedor cuando los datos ingresados sean válidos.</t>
  </si>
  <si>
    <t>El sistema debe validar que el nombre del vendedor sea obligatorio.</t>
  </si>
  <si>
    <t>El sistema debe validar que el apellido del vendedor sea obligatorio.</t>
  </si>
  <si>
    <t>El sistema debe validar que el tipo de documento sea obligatorio.</t>
  </si>
  <si>
    <t>El sistema debe validar que el número de documento sea obligatorio.</t>
  </si>
  <si>
    <t>El sistema debe validar que el correo electrónico sea obligatorio.</t>
  </si>
  <si>
    <t>El sistema debe validar que el correo electrónico tenga formato válido.</t>
  </si>
  <si>
    <t>El sistema debe validar que el teléfono o WhatsApp sea obligatorio.</t>
  </si>
  <si>
    <t>El sistema debe validar que el teléfono tenga 10 dígitos sin espacios ni guiones.</t>
  </si>
  <si>
    <t>El sistema debe validar que la universidad sea obligatoria.</t>
  </si>
  <si>
    <t>El sistema debe validar que la contraseña sea obligatoria al crear un vendedor.</t>
  </si>
  <si>
    <t>El sistema debe impedir crear un vendedor si ya existe una cuenta registrada con el mismo correo electrónico.</t>
  </si>
  <si>
    <t>El sistema debe mostrar un mensaje de error cuando el correo electrónico ya esté registrado.</t>
  </si>
  <si>
    <r>
      <t xml:space="preserve">El sistema debe mostrar el mensaje </t>
    </r>
    <r>
      <rPr>
        <b/>
        <sz val="11"/>
        <color theme="1"/>
        <rFont val="Calibri"/>
        <family val="2"/>
      </rPr>
      <t>Ya existe una cuenta registrada con ese correo electrónico</t>
    </r>
    <r>
      <rPr>
        <sz val="11"/>
        <color theme="1"/>
        <rFont val="Calibri"/>
        <family val="2"/>
      </rPr>
      <t>.</t>
    </r>
  </si>
  <si>
    <t>El sistema debe permitir cerrar el mensaje de error de correo duplicado.</t>
  </si>
  <si>
    <t>El sistema debe mantener los datos ingresados para permitir correcciones después de un error, según la lógica del sistema.</t>
  </si>
  <si>
    <t>El sistema debe actualizar el listado de vendedores después de crear un nuevo vendedor.</t>
  </si>
  <si>
    <t>El sistema debe actualizar la cantidad de vendedores activos después de crear un vendedor activo.</t>
  </si>
  <si>
    <r>
      <t xml:space="preserve">El sistema debe mostrar la vista </t>
    </r>
    <r>
      <rPr>
        <b/>
        <sz val="11"/>
        <color theme="1"/>
        <rFont val="Calibri"/>
        <family val="2"/>
      </rPr>
      <t>Editar Vendedor</t>
    </r>
    <r>
      <rPr>
        <sz val="11"/>
        <color theme="1"/>
        <rFont val="Calibri"/>
        <family val="2"/>
      </rPr>
      <t>.</t>
    </r>
  </si>
  <si>
    <t>El sistema debe cargar automáticamente los datos actuales del vendedor en el formulario de edición.</t>
  </si>
  <si>
    <t>El sistema debe permitir modificar el nombre del vendedor.</t>
  </si>
  <si>
    <t>El sistema debe permitir modificar el apellido del vendedor.</t>
  </si>
  <si>
    <t>El sistema debe mostrar el tipo de documento del vendedor en la edición.</t>
  </si>
  <si>
    <t>El sistema debe mostrar el número de documento del vendedor en la edición.</t>
  </si>
  <si>
    <t>El sistema debe impedir modificar el número de documento del vendedor si el campo está bloqueado.</t>
  </si>
  <si>
    <t>El sistema debe mostrar un mensaje indicando que el número de documento no puede modificarse.</t>
  </si>
  <si>
    <t>El sistema debe permitir modificar el correo electrónico del vendedor.</t>
  </si>
  <si>
    <t>El sistema debe permitir modificar el teléfono o WhatsApp del vendedor.</t>
  </si>
  <si>
    <t>El sistema debe permitir modificar la universidad del vendedor.</t>
  </si>
  <si>
    <t>El sistema debe permitir modificar el estado de la cuenta del vendedor.</t>
  </si>
  <si>
    <r>
      <t xml:space="preserve">El sistema debe mostrar el botón </t>
    </r>
    <r>
      <rPr>
        <b/>
        <sz val="11"/>
        <color theme="1"/>
        <rFont val="Calibri"/>
        <family val="2"/>
      </rPr>
      <t>Guardar Cambios</t>
    </r>
    <r>
      <rPr>
        <sz val="11"/>
        <color theme="1"/>
        <rFont val="Calibri"/>
        <family val="2"/>
      </rPr>
      <t>.</t>
    </r>
  </si>
  <si>
    <t>El sistema debe actualizar la información del vendedor cuando los datos modificados sean válidos.</t>
  </si>
  <si>
    <t>El sistema debe reflejar los cambios del vendedor en el listado principal.</t>
  </si>
  <si>
    <t>El sistema debe permitir ver el historial o listado de pedidos relacionados con un vendedor.</t>
  </si>
  <si>
    <t>El sistema debe mostrar en el detalle del vendedor los pedidos asociados.</t>
  </si>
  <si>
    <t>El sistema debe mostrar el ID del pedido asociado al vendedor.</t>
  </si>
  <si>
    <t>El sistema debe mostrar la fecha del pedido asociado al vendedor.</t>
  </si>
  <si>
    <t>El sistema debe mostrar el teléfono o dirección del pedido asociado.</t>
  </si>
  <si>
    <t>El sistema debe mostrar el total del pedido asociado.</t>
  </si>
  <si>
    <t>El sistema debe mostrar el estado del pedido asociado.</t>
  </si>
  <si>
    <t>El sistema debe permitir visualizar el detalle de un pedido relacionado con el vendedor.</t>
  </si>
  <si>
    <t>El sistema debe permitir cerrar sesión desde el módulo de vendedores.</t>
  </si>
  <si>
    <t>El sistema debe permitir gestionar vendedores únicamente a usuarios autenticados.</t>
  </si>
  <si>
    <t>El sistema debe impedir el acceso al módulo de vendedores a usuarios sin sesión activa.</t>
  </si>
  <si>
    <t>La interfaz del módulo de vendedores debe mantener coherencia visual con la identidad gráfica de Mai Shop.</t>
  </si>
  <si>
    <t>La vista de vendedores debe ser clara, ordenada y fácil de interpretar.</t>
  </si>
  <si>
    <t>Las tarjetas resumen deben ser visibles y comprensibles.</t>
  </si>
  <si>
    <t>Los valores de vendedores activos, ventas, comisiones y pendientes deben ser legibles.</t>
  </si>
  <si>
    <t>El listado de vendedores debe tener una distribución visual organizada.</t>
  </si>
  <si>
    <t>Las tarjetas de vendedores deben mantener un diseño uniforme.</t>
  </si>
  <si>
    <t>La información del vendedor debe estar organizada de forma clara dentro de cada tarjeta.</t>
  </si>
  <si>
    <t>Los estados de cuenta deben identificarse visualmente de forma sencilla.</t>
  </si>
  <si>
    <t>Los botones de ver, editar y eliminar deben ser comprensibles para el usuario.</t>
  </si>
  <si>
    <t>Los filtros de estado y universidad deben estar ubicados en una zona visible.</t>
  </si>
  <si>
    <t>El campo de búsqueda debe ser fácil de usar.</t>
  </si>
  <si>
    <r>
      <t xml:space="preserve">El botón </t>
    </r>
    <r>
      <rPr>
        <b/>
        <sz val="11"/>
        <color theme="1"/>
        <rFont val="Calibri"/>
        <family val="2"/>
      </rPr>
      <t>Nuevo Vendedor</t>
    </r>
    <r>
      <rPr>
        <sz val="11"/>
        <color theme="1"/>
        <rFont val="Calibri"/>
        <family val="2"/>
      </rPr>
      <t xml:space="preserve"> debe destacarse como acción principal del módulo.</t>
    </r>
  </si>
  <si>
    <t>El formulario de creación de vendedor debe estar dividido en secciones claras.</t>
  </si>
  <si>
    <t>El formulario de edición de vendedor debe mantener una estructura ordenada.</t>
  </si>
  <si>
    <r>
      <t xml:space="preserve">Las secciones </t>
    </r>
    <r>
      <rPr>
        <b/>
        <sz val="11"/>
        <color theme="1"/>
        <rFont val="Calibri"/>
        <family val="2"/>
      </rPr>
      <t>Datos Personales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Información de Contacto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Credenciales de Acceso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>Configuración</t>
    </r>
    <r>
      <rPr>
        <sz val="11"/>
        <color theme="1"/>
        <rFont val="Calibri"/>
        <family val="2"/>
      </rPr>
      <t xml:space="preserve"> deben diferenciarse visualmente.</t>
    </r>
  </si>
  <si>
    <t>Las etiquetas de los campos deben ser legibles.</t>
  </si>
  <si>
    <t>Los campos bloqueados deben diferenciarse visualmente de los campos editables.</t>
  </si>
  <si>
    <t>El mensaje de campo no modificable debe ser claro para el usuario.</t>
  </si>
  <si>
    <t>Los mensajes de error deben ser comprensibles y visibles.</t>
  </si>
  <si>
    <t>El mensaje de correo duplicado debe indicar claramente la causa del error.</t>
  </si>
  <si>
    <t>El sistema debe evitar registros duplicados de vendedores mediante validación de correo electrónico.</t>
  </si>
  <si>
    <t>El sistema debe validar los datos antes de guardar información.</t>
  </si>
  <si>
    <t>El sistema debe proteger la contraseña del vendedor durante el registro.</t>
  </si>
  <si>
    <t>La contraseña del vendedor no debe mostrarse en texto plano.</t>
  </si>
  <si>
    <t>La contraseña debe almacenarse de forma segura en la base de datos.</t>
  </si>
  <si>
    <t>El sistema debe mantener la integridad de los datos personales y de contacto del vendedor.</t>
  </si>
  <si>
    <t>El sistema no debe mostrar información de vendedores a usuarios no autorizados.</t>
  </si>
  <si>
    <t>El sistema debe responder en un tiempo adecuado al cargar el listado de vendedores.</t>
  </si>
  <si>
    <t>La búsqueda de vendedores debe ejecutarse en un tiempo razonable.</t>
  </si>
  <si>
    <t>Los filtros por estado y universidad deben aplicarse sin demoras innecesarias.</t>
  </si>
  <si>
    <t>La creación de vendedores debe procesarse de forma eficiente.</t>
  </si>
  <si>
    <t>La edición de vendedores debe procesarse de forma eficiente.</t>
  </si>
  <si>
    <t>La eliminación de vendedores debe ejecutarse de forma controlada y segura.</t>
  </si>
  <si>
    <t>El sistema debe evitar eliminaciones accidentales mediante una confirmación previa.</t>
  </si>
  <si>
    <t>La ventana modal de eliminación debe advertir claramente que la acción no se puede deshacer fácilmente.</t>
  </si>
  <si>
    <r>
      <t xml:space="preserve">El botón </t>
    </r>
    <r>
      <rPr>
        <b/>
        <sz val="11"/>
        <color theme="1"/>
        <rFont val="Calibri"/>
        <family val="2"/>
      </rPr>
      <t>Eliminar</t>
    </r>
    <r>
      <rPr>
        <sz val="11"/>
        <color theme="1"/>
        <rFont val="Calibri"/>
        <family val="2"/>
      </rPr>
      <t xml:space="preserve"> debe diferenciarse como acción crítica.</t>
    </r>
  </si>
  <si>
    <r>
      <t xml:space="preserve">El botón </t>
    </r>
    <r>
      <rPr>
        <b/>
        <sz val="11"/>
        <color theme="1"/>
        <rFont val="Calibri"/>
        <family val="2"/>
      </rPr>
      <t>Cancelar</t>
    </r>
    <r>
      <rPr>
        <sz val="11"/>
        <color theme="1"/>
        <rFont val="Calibri"/>
        <family val="2"/>
      </rPr>
      <t xml:space="preserve"> debe permitir abandonar el proceso sin afectar la información.</t>
    </r>
  </si>
  <si>
    <t>El fondo debe oscurecerse cuando se muestre una ventana modal.</t>
  </si>
  <si>
    <t>La vista debe funcionar correctamente en navegadores modernos.</t>
  </si>
  <si>
    <t>El módulo debe visualizarse correctamente en computadores de escritorio.</t>
  </si>
  <si>
    <t>El módulo debe adaptarse correctamente a tablets.</t>
  </si>
  <si>
    <t>El módulo debe conservar usabilidad en pantallas pequeñas, si aplica.</t>
  </si>
  <si>
    <t>Los íconos deben ser coherentes con la acción que representan.</t>
  </si>
  <si>
    <t>El sistema debe mantener estabilidad visual durante búsquedas, filtros, creación, edición y eliminación.</t>
  </si>
  <si>
    <t>El sistema debe manejar correctamente escenarios sin vendedores registrados.</t>
  </si>
  <si>
    <t>El sistema debe manejar correctamente escenarios donde los filtros no encuentren resultados.</t>
  </si>
  <si>
    <t>El sistema debe mantener consistencia entre las tarjetas de vendedores y los datos almacenados.</t>
  </si>
  <si>
    <t>El sistema debe mantener consistencia entre los vendedores y los pedidos asociados.</t>
  </si>
  <si>
    <t>El sistema debe permitir mantenimiento sencillo del módulo de vendedores.</t>
  </si>
  <si>
    <t>El código del módulo debe permitir agregar nuevos filtros en el futuro.</t>
  </si>
  <si>
    <t>El código del módulo debe permitir agregar nuevos campos de vendedor si el negocio lo requiere.</t>
  </si>
  <si>
    <t>La estructura del módulo debe facilitar futuras mejoras relacionadas con comisiones y ventas.</t>
  </si>
  <si>
    <t>La solución debe priorizar claridad, seguridad, control administrativo y facilidad de gestión.</t>
  </si>
  <si>
    <r>
      <t xml:space="preserve">El sistema debe permitir acceder al módulo de </t>
    </r>
    <r>
      <rPr>
        <b/>
        <sz val="11"/>
        <color theme="1"/>
        <rFont val="Calibri"/>
        <family val="2"/>
      </rPr>
      <t>Comisiones</t>
    </r>
    <r>
      <rPr>
        <sz val="11"/>
        <color theme="1"/>
        <rFont val="Calibri"/>
        <family val="2"/>
      </rPr>
      <t xml:space="preserve"> desde el menú lateral.</t>
    </r>
  </si>
  <si>
    <r>
      <t xml:space="preserve">El sistema debe resaltar visualmente la opción </t>
    </r>
    <r>
      <rPr>
        <b/>
        <sz val="11"/>
        <color theme="1"/>
        <rFont val="Calibri"/>
        <family val="2"/>
      </rPr>
      <t>Comisiones</t>
    </r>
    <r>
      <rPr>
        <sz val="11"/>
        <color theme="1"/>
        <rFont val="Calibri"/>
        <family val="2"/>
      </rPr>
      <t xml:space="preserve"> cuando el usuario se encuentre dentro del módulo.</t>
    </r>
  </si>
  <si>
    <r>
      <t xml:space="preserve">El sistema debe mostrar la vista </t>
    </r>
    <r>
      <rPr>
        <b/>
        <sz val="11"/>
        <color theme="1"/>
        <rFont val="Calibri"/>
        <family val="2"/>
      </rPr>
      <t>Gestión de Comisiones</t>
    </r>
    <r>
      <rPr>
        <sz val="11"/>
        <color theme="1"/>
        <rFont val="Calibri"/>
        <family val="2"/>
      </rPr>
      <t>.</t>
    </r>
  </si>
  <si>
    <t>El sistema debe mostrar un encabezado descriptivo del módulo de comisiones.</t>
  </si>
  <si>
    <t>El sistema debe mostrar un resumen general de las comisiones del equipo de ventas.</t>
  </si>
  <si>
    <t>El sistema debe mostrar la cantidad de comisiones pendientes.</t>
  </si>
  <si>
    <t>El sistema debe mostrar el valor total pendiente por pagar.</t>
  </si>
  <si>
    <t>El sistema debe mostrar el valor total ya pagado.</t>
  </si>
  <si>
    <t>El sistema debe actualizar los indicadores de comisiones según los pagos registrados.</t>
  </si>
  <si>
    <r>
      <t xml:space="preserve">El sistema debe mostrar una pestaña de </t>
    </r>
    <r>
      <rPr>
        <b/>
        <sz val="11"/>
        <color theme="1"/>
        <rFont val="Calibri"/>
        <family val="2"/>
      </rPr>
      <t>Pendientes</t>
    </r>
    <r>
      <rPr>
        <sz val="11"/>
        <color theme="1"/>
        <rFont val="Calibri"/>
        <family val="2"/>
      </rPr>
      <t>.</t>
    </r>
  </si>
  <si>
    <r>
      <t xml:space="preserve">El sistema debe mostrar una pestaña de </t>
    </r>
    <r>
      <rPr>
        <b/>
        <sz val="11"/>
        <color theme="1"/>
        <rFont val="Calibri"/>
        <family val="2"/>
      </rPr>
      <t>Pagadas</t>
    </r>
    <r>
      <rPr>
        <sz val="11"/>
        <color theme="1"/>
        <rFont val="Calibri"/>
        <family val="2"/>
      </rPr>
      <t>.</t>
    </r>
  </si>
  <si>
    <t>El sistema debe permitir consultar las comisiones pendientes de pago.</t>
  </si>
  <si>
    <t>El sistema debe permitir consultar el historial de comisiones pagadas.</t>
  </si>
  <si>
    <t>El sistema debe mostrar una tabla de comisiones pendientes.</t>
  </si>
  <si>
    <t>El sistema debe mostrar el número de pedido asociado a la comisión pendiente.</t>
  </si>
  <si>
    <t>El sistema debe mostrar la fecha del pedido asociado a la comisión.</t>
  </si>
  <si>
    <t>El sistema debe mostrar el vendedor asociado a la comisión.</t>
  </si>
  <si>
    <t>El sistema debe mostrar el total del pedido que genera la comisión.</t>
  </si>
  <si>
    <t>El sistema debe mostrar el valor de la comisión calculada.</t>
  </si>
  <si>
    <t>El sistema debe mostrar el porcentaje de comisión aplicado al vendedor.</t>
  </si>
  <si>
    <t>El sistema debe mostrar una acción para registrar el pago de una comisión pendiente.</t>
  </si>
  <si>
    <r>
      <t xml:space="preserve">El sistema debe mostrar el botón </t>
    </r>
    <r>
      <rPr>
        <b/>
        <sz val="11"/>
        <color theme="1"/>
        <rFont val="Calibri"/>
        <family val="2"/>
      </rPr>
      <t>Registrar Pago</t>
    </r>
    <r>
      <rPr>
        <sz val="11"/>
        <color theme="1"/>
        <rFont val="Calibri"/>
        <family val="2"/>
      </rPr>
      <t xml:space="preserve"> cuando exista una comisión pendiente.</t>
    </r>
  </si>
  <si>
    <r>
      <t xml:space="preserve">El sistema debe permitir acceder a la vista </t>
    </r>
    <r>
      <rPr>
        <b/>
        <sz val="11"/>
        <color theme="1"/>
        <rFont val="Calibri"/>
        <family val="2"/>
      </rPr>
      <t>Registrar Pago de Comisiones</t>
    </r>
    <r>
      <rPr>
        <sz val="11"/>
        <color theme="1"/>
        <rFont val="Calibri"/>
        <family val="2"/>
      </rPr>
      <t>.</t>
    </r>
  </si>
  <si>
    <t>El sistema debe mostrar el nombre del vendedor al registrar el pago de comisiones.</t>
  </si>
  <si>
    <t>El sistema debe mostrar la lista de pedidos pendientes por pagar al vendedor.</t>
  </si>
  <si>
    <t>El sistema debe mostrar la cantidad de pedidos pendientes incluidos en el pago.</t>
  </si>
  <si>
    <t>El sistema debe mostrar la fecha de cada pedido pendiente.</t>
  </si>
  <si>
    <t>El sistema debe mostrar el número de cada pedido pendiente.</t>
  </si>
  <si>
    <t>El sistema debe mostrar el total de venta de cada pedido pendiente.</t>
  </si>
  <si>
    <t>El sistema debe mostrar el valor de comisión de cada pedido pendiente.</t>
  </si>
  <si>
    <t>El sistema debe calcular el total a pagar al vendedor.</t>
  </si>
  <si>
    <t>El sistema debe mostrar el resumen del pago antes de confirmar.</t>
  </si>
  <si>
    <t>El sistema debe mostrar la tasa de comisión aplicada al vendedor.</t>
  </si>
  <si>
    <r>
      <t xml:space="preserve">El sistema debe mostrar la opción de pago por </t>
    </r>
    <r>
      <rPr>
        <b/>
        <sz val="11"/>
        <color theme="1"/>
        <rFont val="Calibri"/>
        <family val="2"/>
      </rPr>
      <t>Transferencia Bancaria</t>
    </r>
    <r>
      <rPr>
        <sz val="11"/>
        <color theme="1"/>
        <rFont val="Calibri"/>
        <family val="2"/>
      </rPr>
      <t>.</t>
    </r>
  </si>
  <si>
    <t>El sistema debe permitir cargar un comprobante de transferencia.</t>
  </si>
  <si>
    <t>El sistema debe exigir el comprobante de transferencia para confirmar el pago.</t>
  </si>
  <si>
    <r>
      <t xml:space="preserve">El sistema debe mostrar un botón </t>
    </r>
    <r>
      <rPr>
        <b/>
        <sz val="11"/>
        <color theme="1"/>
        <rFont val="Calibri"/>
        <family val="2"/>
      </rPr>
      <t>Confirmar Pago</t>
    </r>
    <r>
      <rPr>
        <sz val="11"/>
        <color theme="1"/>
        <rFont val="Calibri"/>
        <family val="2"/>
      </rPr>
      <t>.</t>
    </r>
  </si>
  <si>
    <t>El sistema debe registrar el pago de la comisión cuando la información sea válida.</t>
  </si>
  <si>
    <t>El sistema debe mover la comisión desde la pestaña de pendientes hacia la pestaña de pagadas después de confirmar el pago.</t>
  </si>
  <si>
    <t>El sistema debe actualizar el contador de comisiones pendientes después de registrar un pago.</t>
  </si>
  <si>
    <t>El sistema debe actualizar el valor total por pagar después de registrar un pago.</t>
  </si>
  <si>
    <t>El sistema debe actualizar el valor total ya pagado después de registrar un pago.</t>
  </si>
  <si>
    <t>El sistema debe permitir volver a la vista de comisiones desde la vista de registro de pago.</t>
  </si>
  <si>
    <t>El sistema debe mostrar una tabla de historial de comisiones pagadas.</t>
  </si>
  <si>
    <t>El sistema debe mostrar el número de pedido asociado a la comisión pagada.</t>
  </si>
  <si>
    <t>El sistema debe mostrar la fecha de pago de la comisión.</t>
  </si>
  <si>
    <t>El sistema debe mostrar el vendedor al que se le pagó la comisión.</t>
  </si>
  <si>
    <t>El sistema debe mostrar el monto pagado por comisión.</t>
  </si>
  <si>
    <t>El sistema debe mostrar una acción para ver el comprobante del pago.</t>
  </si>
  <si>
    <r>
      <t xml:space="preserve">El sistema debe mostrar el botón </t>
    </r>
    <r>
      <rPr>
        <b/>
        <sz val="11"/>
        <color theme="1"/>
        <rFont val="Calibri"/>
        <family val="2"/>
      </rPr>
      <t>Ver Recibo</t>
    </r>
    <r>
      <rPr>
        <sz val="11"/>
        <color theme="1"/>
        <rFont val="Calibri"/>
        <family val="2"/>
      </rPr>
      <t xml:space="preserve"> en las comisiones pagadas.</t>
    </r>
  </si>
  <si>
    <t>El sistema debe permitir visualizar el comprobante asociado al pago de comisión.</t>
  </si>
  <si>
    <t>El sistema debe abrir o mostrar el comprobante cargado por el administrador.</t>
  </si>
  <si>
    <t>El sistema debe permitir consultar el comprobante de pago después de registrar la comisión como pagada.</t>
  </si>
  <si>
    <t>El sistema debe mostrar un mensaje informativo cuando no existan comisiones pendientes.</t>
  </si>
  <si>
    <r>
      <t xml:space="preserve">El sistema debe mostrar el mensaje </t>
    </r>
    <r>
      <rPr>
        <b/>
        <sz val="11"/>
        <color theme="1"/>
        <rFont val="Calibri"/>
        <family val="2"/>
      </rPr>
      <t>¡Todo al día!</t>
    </r>
    <r>
      <rPr>
        <sz val="11"/>
        <color theme="1"/>
        <rFont val="Calibri"/>
        <family val="2"/>
      </rPr>
      <t xml:space="preserve"> cuando no haya comisiones pendientes por pagar.</t>
    </r>
  </si>
  <si>
    <t>El sistema debe indicar que no hay comisiones pendientes cuando la lista esté vacía.</t>
  </si>
  <si>
    <t>El sistema debe mostrar una notificación visual en el menú lateral cuando existan comisiones pendientes.</t>
  </si>
  <si>
    <t>El sistema debe mostrar la cantidad de comisiones pendientes en la opción del menú lateral.</t>
  </si>
  <si>
    <t>El sistema debe permitir gestionar comisiones únicamente a usuarios autenticados.</t>
  </si>
  <si>
    <t>El sistema debe impedir el acceso al módulo de comisiones a usuarios sin sesión activa.</t>
  </si>
  <si>
    <t>El sistema debe permitir cerrar sesión desde el módulo de comisiones.</t>
  </si>
  <si>
    <t>El sistema debe mantener sincronizada la información de comisiones con los pedidos registrados.</t>
  </si>
  <si>
    <t>El sistema debe calcular la comisión con base en el total del pedido y el porcentaje asignado al vendedor.</t>
  </si>
  <si>
    <t>El sistema debe evitar registrar dos veces el pago de una misma comisión.</t>
  </si>
  <si>
    <t>El sistema debe conservar el historial de pagos realizados.</t>
  </si>
  <si>
    <t>El sistema debe asociar cada comprobante con el pago correspondiente.</t>
  </si>
  <si>
    <t>El sistema debe permitir diferenciar claramente entre comisiones pendientes y comisiones pagadas.</t>
  </si>
  <si>
    <t>La interfaz del módulo de comisiones debe mantener coherencia visual con la identidad gráfica de Mai Shop.</t>
  </si>
  <si>
    <t>La vista de comisiones debe ser clara, ordenada y fácil de interpretar.</t>
  </si>
  <si>
    <t>El encabezado del módulo debe comunicar claramente la finalidad de gestionar pagos pendientes al equipo de ventas.</t>
  </si>
  <si>
    <t>Los valores de pendientes, por pagar y ya pagado deben ser legibles.</t>
  </si>
  <si>
    <r>
      <t xml:space="preserve">Las pestañas de </t>
    </r>
    <r>
      <rPr>
        <b/>
        <sz val="11"/>
        <color theme="1"/>
        <rFont val="Calibri"/>
        <family val="2"/>
      </rPr>
      <t>Pendientes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>Pagadas</t>
    </r>
    <r>
      <rPr>
        <sz val="11"/>
        <color theme="1"/>
        <rFont val="Calibri"/>
        <family val="2"/>
      </rPr>
      <t xml:space="preserve"> deben diferenciarse visualmente.</t>
    </r>
  </si>
  <si>
    <t>La pestaña activa debe resaltarse claramente.</t>
  </si>
  <si>
    <t>Las tablas de comisiones deben mantener una estructura ordenada.</t>
  </si>
  <si>
    <t>Los encabezados de las tablas deben diferenciarse visualmente del contenido.</t>
  </si>
  <si>
    <t>Los montos de comisión deben destacarse para facilitar su lectura.</t>
  </si>
  <si>
    <r>
      <t xml:space="preserve">El botón </t>
    </r>
    <r>
      <rPr>
        <b/>
        <sz val="11"/>
        <color theme="1"/>
        <rFont val="Calibri"/>
        <family val="2"/>
      </rPr>
      <t>Registrar Pago</t>
    </r>
    <r>
      <rPr>
        <sz val="11"/>
        <color theme="1"/>
        <rFont val="Calibri"/>
        <family val="2"/>
      </rPr>
      <t xml:space="preserve"> debe identificarse como una acción importante.</t>
    </r>
  </si>
  <si>
    <r>
      <t xml:space="preserve">El botón </t>
    </r>
    <r>
      <rPr>
        <b/>
        <sz val="11"/>
        <color theme="1"/>
        <rFont val="Calibri"/>
        <family val="2"/>
      </rPr>
      <t>Confirmar Pago</t>
    </r>
    <r>
      <rPr>
        <sz val="11"/>
        <color theme="1"/>
        <rFont val="Calibri"/>
        <family val="2"/>
      </rPr>
      <t xml:space="preserve"> debe destacarse como acción principal en el registro de pago.</t>
    </r>
  </si>
  <si>
    <r>
      <t xml:space="preserve">El botón </t>
    </r>
    <r>
      <rPr>
        <b/>
        <sz val="11"/>
        <color theme="1"/>
        <rFont val="Calibri"/>
        <family val="2"/>
      </rPr>
      <t>Ver Recibo</t>
    </r>
    <r>
      <rPr>
        <sz val="11"/>
        <color theme="1"/>
        <rFont val="Calibri"/>
        <family val="2"/>
      </rPr>
      <t xml:space="preserve"> debe ser fácil de identificar dentro del historial.</t>
    </r>
  </si>
  <si>
    <t>El mensaje de estado vacío debe ser claro y comprensible para el usuario.</t>
  </si>
  <si>
    <t>La vista debe permitir al administrador identificar rápidamente si existen pagos pendientes.</t>
  </si>
  <si>
    <t>El módulo debe facilitar el control administrativo de pagos a vendedores.</t>
  </si>
  <si>
    <t>El resumen del pago debe mostrar la información de forma precisa y fácil de validar.</t>
  </si>
  <si>
    <t>La carga del comprobante debe ser clara para el usuario.</t>
  </si>
  <si>
    <t>El sistema debe indicar correctamente cuando el comprobante es obligatorio.</t>
  </si>
  <si>
    <t>El comprobante visualizado debe ser legible y corresponder al pago seleccionado.</t>
  </si>
  <si>
    <t>El sistema debe evitar confusiones entre comisiones pendientes y pagadas.</t>
  </si>
  <si>
    <t>La información mostrada debe corresponder a los datos reales registrados en pedidos, vendedores y pagos.</t>
  </si>
  <si>
    <t>El cálculo de comisiones debe ser confiable y consistente.</t>
  </si>
  <si>
    <t>El sistema debe mantener la integridad de los datos de comisiones.</t>
  </si>
  <si>
    <t>El sistema debe evitar pagos duplicados sobre la misma comisión.</t>
  </si>
  <si>
    <t>El sistema debe conservar trazabilidad de los pagos realizados.</t>
  </si>
  <si>
    <t>El historial de comisiones pagadas debe mantenerse disponible para consulta posterior.</t>
  </si>
  <si>
    <t>El sistema no debe mostrar información financiera a usuarios no autorizados.</t>
  </si>
  <si>
    <t>El sistema debe manejar de forma segura los comprobantes cargados.</t>
  </si>
  <si>
    <t>El sistema no debe exponer archivos de comprobantes a usuarios sin permisos.</t>
  </si>
  <si>
    <t>La carga de comprobantes debe aceptar únicamente archivos válidos según la configuración del sistema.</t>
  </si>
  <si>
    <t>El sistema debe responder en un tiempo adecuado al cargar el listado de comisiones.</t>
  </si>
  <si>
    <t>El cambio entre pestañas debe ejecutarse sin demoras innecesarias.</t>
  </si>
  <si>
    <t>El registro de pago debe procesarse en un tiempo razonable.</t>
  </si>
  <si>
    <t>La visualización del comprobante debe cargarse correctamente.</t>
  </si>
  <si>
    <t>El módulo debe mantener estabilidad visual durante la carga, registro y consulta de pagos.</t>
  </si>
  <si>
    <t>La vista de comisiones debe visualizarse correctamente en computadores de escritorio.</t>
  </si>
  <si>
    <t>Los íconos deben representar correctamente las acciones de pendientes, pagadas, pago y comprobante.</t>
  </si>
  <si>
    <t>El sistema debe manejar correctamente escenarios sin comisiones pendientes.</t>
  </si>
  <si>
    <t>El sistema debe manejar correctamente escenarios sin comisiones pagadas.</t>
  </si>
  <si>
    <t>El sistema debe mantener consistencia entre el módulo de comisiones, pedidos y vendedores.</t>
  </si>
  <si>
    <t>El módulo debe permitir agregar nuevos métodos de pago en el futuro.</t>
  </si>
  <si>
    <t>El módulo debe permitir mejorar el manejo de comprobantes sin afectar la estructura general.</t>
  </si>
  <si>
    <t>La solución debe priorizar claridad, seguridad financiera, trazabilidad y control administrativo.</t>
  </si>
  <si>
    <r>
      <t xml:space="preserve">El sistema debe permitir acceder al módulo de </t>
    </r>
    <r>
      <rPr>
        <b/>
        <sz val="11"/>
        <color theme="1"/>
        <rFont val="Calibri"/>
        <family val="2"/>
      </rPr>
      <t>Reportes</t>
    </r>
    <r>
      <rPr>
        <sz val="11"/>
        <color theme="1"/>
        <rFont val="Calibri"/>
        <family val="2"/>
      </rPr>
      <t xml:space="preserve"> desde el menú lateral.</t>
    </r>
  </si>
  <si>
    <r>
      <t xml:space="preserve">El sistema debe resaltar visualmente la opción </t>
    </r>
    <r>
      <rPr>
        <b/>
        <sz val="11"/>
        <color theme="1"/>
        <rFont val="Calibri"/>
        <family val="2"/>
      </rPr>
      <t>Reportes</t>
    </r>
    <r>
      <rPr>
        <sz val="11"/>
        <color theme="1"/>
        <rFont val="Calibri"/>
        <family val="2"/>
      </rPr>
      <t xml:space="preserve"> cuando el usuario se encuentre dentro del módulo.</t>
    </r>
  </si>
  <si>
    <r>
      <t xml:space="preserve">El sistema debe mostrar la vista </t>
    </r>
    <r>
      <rPr>
        <b/>
        <sz val="11"/>
        <color theme="1"/>
        <rFont val="Calibri"/>
        <family val="2"/>
      </rPr>
      <t>Reportes y Estadísticas</t>
    </r>
    <r>
      <rPr>
        <sz val="11"/>
        <color theme="1"/>
        <rFont val="Calibri"/>
        <family val="2"/>
      </rPr>
      <t>.</t>
    </r>
  </si>
  <si>
    <t>El sistema debe mostrar un texto descriptivo indicando que el módulo presenta una visión general del rendimiento del negocio.</t>
  </si>
  <si>
    <r>
      <t xml:space="preserve">El sistema debe mostrar una tarjeta resumen de </t>
    </r>
    <r>
      <rPr>
        <b/>
        <sz val="11"/>
        <color theme="1"/>
        <rFont val="Calibri"/>
        <family val="2"/>
      </rPr>
      <t>Ventas Totales</t>
    </r>
    <r>
      <rPr>
        <sz val="11"/>
        <color theme="1"/>
        <rFont val="Calibri"/>
        <family val="2"/>
      </rPr>
      <t>.</t>
    </r>
  </si>
  <si>
    <t>El sistema debe calcular y mostrar el valor total de ventas registradas.</t>
  </si>
  <si>
    <r>
      <t xml:space="preserve">El sistema debe mostrar una tarjeta resumen de </t>
    </r>
    <r>
      <rPr>
        <b/>
        <sz val="11"/>
        <color theme="1"/>
        <rFont val="Calibri"/>
        <family val="2"/>
      </rPr>
      <t>Pedidos Totales</t>
    </r>
    <r>
      <rPr>
        <sz val="11"/>
        <color theme="1"/>
        <rFont val="Calibri"/>
        <family val="2"/>
      </rPr>
      <t>.</t>
    </r>
  </si>
  <si>
    <t>El sistema debe calcular y mostrar la cantidad total de pedidos registrados.</t>
  </si>
  <si>
    <r>
      <t xml:space="preserve">El sistema debe mostrar una tarjeta resumen de </t>
    </r>
    <r>
      <rPr>
        <b/>
        <sz val="11"/>
        <color theme="1"/>
        <rFont val="Calibri"/>
        <family val="2"/>
      </rPr>
      <t>Productos Vendidos</t>
    </r>
    <r>
      <rPr>
        <sz val="11"/>
        <color theme="1"/>
        <rFont val="Calibri"/>
        <family val="2"/>
      </rPr>
      <t>.</t>
    </r>
  </si>
  <si>
    <t>El sistema debe calcular y mostrar la cantidad total de productos vendidos.</t>
  </si>
  <si>
    <t>El sistema debe actualizar los indicadores del módulo según los datos registrados en pedidos y productos.</t>
  </si>
  <si>
    <r>
      <t xml:space="preserve">El sistema debe mostrar una gráfica de </t>
    </r>
    <r>
      <rPr>
        <b/>
        <sz val="11"/>
        <color theme="1"/>
        <rFont val="Calibri"/>
        <family val="2"/>
      </rPr>
      <t>Estado de Pedidos</t>
    </r>
    <r>
      <rPr>
        <sz val="11"/>
        <color theme="1"/>
        <rFont val="Calibri"/>
        <family val="2"/>
      </rPr>
      <t>.</t>
    </r>
  </si>
  <si>
    <t>El sistema debe representar visualmente los pedidos según su estado.</t>
  </si>
  <si>
    <r>
      <t xml:space="preserve">El sistema debe mostrar estados como </t>
    </r>
    <r>
      <rPr>
        <b/>
        <sz val="11"/>
        <color theme="1"/>
        <rFont val="Calibri"/>
        <family val="2"/>
      </rPr>
      <t>Pendiente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En Proceso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>Completado</t>
    </r>
    <r>
      <rPr>
        <sz val="11"/>
        <color theme="1"/>
        <rFont val="Calibri"/>
        <family val="2"/>
      </rPr>
      <t xml:space="preserve"> dentro de la gráfica.</t>
    </r>
  </si>
  <si>
    <t>El sistema debe diferenciar los estados de pedidos mediante colores o etiquetas visuales.</t>
  </si>
  <si>
    <r>
      <t xml:space="preserve">El sistema debe mostrar una gráfica de </t>
    </r>
    <r>
      <rPr>
        <b/>
        <sz val="11"/>
        <color theme="1"/>
        <rFont val="Calibri"/>
        <family val="2"/>
      </rPr>
      <t>Ventas por Mes</t>
    </r>
    <r>
      <rPr>
        <sz val="11"/>
        <color theme="1"/>
        <rFont val="Calibri"/>
        <family val="2"/>
      </rPr>
      <t>.</t>
    </r>
  </si>
  <si>
    <t>El sistema debe representar las ventas mensuales en una gráfica de línea.</t>
  </si>
  <si>
    <t>El sistema debe mostrar los meses como referencia temporal en la gráfica de ventas.</t>
  </si>
  <si>
    <t>El sistema debe mostrar los valores de ventas en el eje correspondiente.</t>
  </si>
  <si>
    <t>El sistema debe permitir visualizar el crecimiento o variación de ventas por mes.</t>
  </si>
  <si>
    <r>
      <t xml:space="preserve">El sistema debe mostrar una gráfica de </t>
    </r>
    <r>
      <rPr>
        <b/>
        <sz val="11"/>
        <color theme="1"/>
        <rFont val="Calibri"/>
        <family val="2"/>
      </rPr>
      <t>Top 5 Productos Más Vendidos</t>
    </r>
    <r>
      <rPr>
        <sz val="11"/>
        <color theme="1"/>
        <rFont val="Calibri"/>
        <family val="2"/>
      </rPr>
      <t>.</t>
    </r>
  </si>
  <si>
    <t>El sistema debe identificar los productos con mayor cantidad de ventas.</t>
  </si>
  <si>
    <t>El sistema debe ordenar los productos más vendidos según su cantidad vendida.</t>
  </si>
  <si>
    <t>El sistema debe mostrar el nombre de cada producto dentro de la gráfica.</t>
  </si>
  <si>
    <t>El sistema debe mostrar la cantidad vendida de cada producto dentro de la gráfica.</t>
  </si>
  <si>
    <r>
      <t xml:space="preserve">El sistema debe mostrar una gráfica de </t>
    </r>
    <r>
      <rPr>
        <b/>
        <sz val="11"/>
        <color theme="1"/>
        <rFont val="Calibri"/>
        <family val="2"/>
      </rPr>
      <t>Vendedores por Universidad</t>
    </r>
    <r>
      <rPr>
        <sz val="11"/>
        <color theme="1"/>
        <rFont val="Calibri"/>
        <family val="2"/>
      </rPr>
      <t>.</t>
    </r>
  </si>
  <si>
    <t>El sistema debe agrupar los vendedores según la universidad registrada.</t>
  </si>
  <si>
    <t>El sistema debe mostrar la cantidad de vendedores asociados a cada universidad.</t>
  </si>
  <si>
    <t>El sistema debe permitir analizar el rendimiento general del negocio desde una sola vista.</t>
  </si>
  <si>
    <t>El sistema debe tomar la información del módulo de pedidos para generar los reportes.</t>
  </si>
  <si>
    <t>El sistema debe tomar la información del módulo de productos para generar estadísticas de productos vendidos.</t>
  </si>
  <si>
    <t>El sistema debe tomar la información del módulo de vendedores para generar estadísticas por universidad.</t>
  </si>
  <si>
    <t>El sistema debe mostrar reportes únicamente a usuarios autenticados.</t>
  </si>
  <si>
    <t>El sistema debe impedir el acceso al módulo de reportes a usuarios sin sesión activa.</t>
  </si>
  <si>
    <t>El sistema debe permitir cerrar sesión desde el módulo de reportes.</t>
  </si>
  <si>
    <t>El sistema debe mantener disponible el menú lateral dentro del módulo de reportes.</t>
  </si>
  <si>
    <t>El sistema debe mostrar datos reales del sistema y no valores manuales o estáticos, según la información registrada.</t>
  </si>
  <si>
    <t>El sistema debe actualizar las estadísticas cuando existan nuevos pedidos registrados.</t>
  </si>
  <si>
    <t>El sistema debe actualizar las estadísticas cuando cambie el estado de un pedido.</t>
  </si>
  <si>
    <t>El sistema debe actualizar las estadísticas cuando se registren nuevas ventas.</t>
  </si>
  <si>
    <t>El sistema debe actualizar el top de productos cuando cambien las cantidades vendidas.</t>
  </si>
  <si>
    <t>El sistema debe actualizar la gráfica de vendedores cuando se agreguen o modifiquen vendedores.</t>
  </si>
  <si>
    <t>El sistema debe mostrar valores en cero cuando no existan datos registrados.</t>
  </si>
  <si>
    <t>El sistema debe permitir al administrador consultar rápidamente el comportamiento comercial de Mai Shop.</t>
  </si>
  <si>
    <t>El sistema debe servir como apoyo para la toma de decisiones administrativas.</t>
  </si>
  <si>
    <t>El sistema debe permitir identificar cuáles productos tienen mayor rotación.</t>
  </si>
  <si>
    <t>El sistema debe permitir identificar el comportamiento de ventas por periodo mensual.</t>
  </si>
  <si>
    <t>El sistema debe permitir identificar la distribución de pedidos según su estado.</t>
  </si>
  <si>
    <t>El sistema debe permitir identificar la distribución de vendedores por universidad.</t>
  </si>
  <si>
    <t>El sistema debe presentar las estadísticas de forma visual mediante gráficas.</t>
  </si>
  <si>
    <t>El sistema debe mostrar las métricas principales antes de las gráficas detalladas.</t>
  </si>
  <si>
    <t>El sistema debe organizar los reportes en secciones diferenciadas.</t>
  </si>
  <si>
    <t>El sistema debe mostrar iconos representativos en las tarjetas resumen.</t>
  </si>
  <si>
    <t>El sistema debe mantener sincronización entre los reportes y los módulos operativos del sistema.</t>
  </si>
  <si>
    <t>La interfaz del módulo de reportes debe mantener coherencia visual con la identidad gráfica de Mai Shop.</t>
  </si>
  <si>
    <t>La vista de reportes debe ser clara, ordenada y fácil de interpretar.</t>
  </si>
  <si>
    <t>Las tarjetas resumen deben ser visibles y comprensibles para el usuario.</t>
  </si>
  <si>
    <t>Los valores de ventas, pedidos y productos vendidos deben ser legibles a simple vista.</t>
  </si>
  <si>
    <t>Las gráficas deben tener títulos claros que indiquen qué información representan.</t>
  </si>
  <si>
    <t>La gráfica de estado de pedidos debe ser visualmente comprensible.</t>
  </si>
  <si>
    <t>La gráfica de ventas por mes debe permitir identificar tendencias de forma sencilla.</t>
  </si>
  <si>
    <t>La gráfica de productos más vendidos debe facilitar la comparación entre productos.</t>
  </si>
  <si>
    <t>La gráfica de vendedores por universidad debe permitir interpretar la distribución de vendedores.</t>
  </si>
  <si>
    <t>Los colores utilizados en las gráficas deben ayudar a diferenciar categorías o estados.</t>
  </si>
  <si>
    <t>Las leyendas de las gráficas deben ser claras y fáciles de leer.</t>
  </si>
  <si>
    <t>La información visual debe evitar saturación y exceso de datos.</t>
  </si>
  <si>
    <t>La distribución del módulo debe facilitar la lectura de indicadores generales y gráficos.</t>
  </si>
  <si>
    <t>El módulo debe mostrar la información de forma organizada en tarjetas y contenedores.</t>
  </si>
  <si>
    <t>El sistema debe cargar los reportes en un tiempo adecuado.</t>
  </si>
  <si>
    <t>Las consultas para generar estadísticas deben ejecutarse de forma eficiente.</t>
  </si>
  <si>
    <t>La carga de gráficas no debe afectar negativamente la experiencia del usuario.</t>
  </si>
  <si>
    <t>El módulo debe mantener estabilidad visual mientras se cargan los datos.</t>
  </si>
  <si>
    <t>El sistema debe manejar correctamente escenarios sin ventas registradas.</t>
  </si>
  <si>
    <t>El sistema debe manejar correctamente escenarios sin pedidos registrados.</t>
  </si>
  <si>
    <t>El sistema debe manejar correctamente escenarios sin productos vendidos.</t>
  </si>
  <si>
    <t>El sistema debe mostrar valores en cero o gráficas vacías cuando no existan datos disponibles.</t>
  </si>
  <si>
    <t>La información presentada en los reportes debe ser consistente con los datos reales del sistema.</t>
  </si>
  <si>
    <t>El sistema debe evitar inconsistencias entre ventas, pedidos, productos y vendedores.</t>
  </si>
  <si>
    <t>Los cálculos estadísticos deben ser precisos y confiables.</t>
  </si>
  <si>
    <t>El sistema no debe mostrar información estadística o comercial a usuarios no autorizados.</t>
  </si>
  <si>
    <t>La vista de reportes debe visualizarse correctamente en computadores de escritorio.</t>
  </si>
  <si>
    <t>Las gráficas deben conservar legibilidad en diferentes tamaños de pantalla.</t>
  </si>
  <si>
    <t>Los iconos deben ser coherentes con las métricas que representan.</t>
  </si>
  <si>
    <t>El menú lateral debe conservar su funcionalidad dentro del módulo.</t>
  </si>
  <si>
    <t>El sistema debe permitir mantenimiento sencillo de las gráficas y métricas.</t>
  </si>
  <si>
    <t>El código del módulo debe estar organizado para facilitar futuras mejoras.</t>
  </si>
  <si>
    <t>El módulo debe permitir agregar nuevos indicadores estadísticos en el futuro.</t>
  </si>
  <si>
    <t>El módulo debe permitir agregar nuevos tipos de gráficas sin afectar la estructura general.</t>
  </si>
  <si>
    <t>El módulo debe permitir ampliar los reportes con filtros por fecha, vendedor o producto en futuras versiones.</t>
  </si>
  <si>
    <t>El sistema debe priorizar claridad, precisión, rendimiento y facilidad de análisis.</t>
  </si>
  <si>
    <t>El módulo debe contribuir a la toma de decisiones administrativas del negocio.</t>
  </si>
  <si>
    <t>La presentación visual de los reportes debe transmitir profesionalismo y confiabilidad.</t>
  </si>
  <si>
    <r>
      <t xml:space="preserve">El sistema debe permitir acceder al módulo de </t>
    </r>
    <r>
      <rPr>
        <b/>
        <sz val="11"/>
        <color theme="1"/>
        <rFont val="Calibri"/>
        <family val="2"/>
      </rPr>
      <t>Configuración</t>
    </r>
    <r>
      <rPr>
        <sz val="11"/>
        <color theme="1"/>
        <rFont val="Calibri"/>
        <family val="2"/>
      </rPr>
      <t xml:space="preserve"> desde el menú lateral.</t>
    </r>
  </si>
  <si>
    <r>
      <t xml:space="preserve">El sistema debe resaltar visualmente la opción </t>
    </r>
    <r>
      <rPr>
        <b/>
        <sz val="11"/>
        <color theme="1"/>
        <rFont val="Calibri"/>
        <family val="2"/>
      </rPr>
      <t>Configuración</t>
    </r>
    <r>
      <rPr>
        <sz val="11"/>
        <color theme="1"/>
        <rFont val="Calibri"/>
        <family val="2"/>
      </rPr>
      <t xml:space="preserve"> cuando el usuario se encuentre dentro del módulo.</t>
    </r>
  </si>
  <si>
    <t>El sistema debe mostrar la información del usuario autenticado en la parte superior de la vista.</t>
  </si>
  <si>
    <t>El sistema debe mostrar las iniciales del usuario autenticado.</t>
  </si>
  <si>
    <t>El sistema debe mostrar el nombre completo del usuario autenticado.</t>
  </si>
  <si>
    <t>El sistema debe mostrar el correo electrónico del usuario autenticado.</t>
  </si>
  <si>
    <t>El sistema debe mostrar el rol del usuario autenticado.</t>
  </si>
  <si>
    <r>
      <t xml:space="preserve">El sistema debe mostrar una sección de </t>
    </r>
    <r>
      <rPr>
        <b/>
        <sz val="11"/>
        <color theme="1"/>
        <rFont val="Calibri"/>
        <family val="2"/>
      </rPr>
      <t>Información Personal</t>
    </r>
    <r>
      <rPr>
        <sz val="11"/>
        <color theme="1"/>
        <rFont val="Calibri"/>
        <family val="2"/>
      </rPr>
      <t>.</t>
    </r>
  </si>
  <si>
    <t>El sistema debe permitir visualizar el nombre del usuario.</t>
  </si>
  <si>
    <t>El sistema debe permitir visualizar el apellido del usuario.</t>
  </si>
  <si>
    <t>El sistema debe permitir visualizar el correo electrónico del usuario.</t>
  </si>
  <si>
    <t>El sistema debe permitir editar el nombre del usuario.</t>
  </si>
  <si>
    <t>El sistema debe permitir editar el apellido del usuario.</t>
  </si>
  <si>
    <t>El sistema debe permitir editar el correo electrónico del usuario.</t>
  </si>
  <si>
    <r>
      <t xml:space="preserve">El sistema debe mostrar un botón </t>
    </r>
    <r>
      <rPr>
        <b/>
        <sz val="11"/>
        <color theme="1"/>
        <rFont val="Calibri"/>
        <family val="2"/>
      </rPr>
      <t>Guardar Cambios</t>
    </r>
    <r>
      <rPr>
        <sz val="11"/>
        <color theme="1"/>
        <rFont val="Calibri"/>
        <family val="2"/>
      </rPr>
      <t xml:space="preserve"> para actualizar la información personal.</t>
    </r>
  </si>
  <si>
    <t>El sistema debe permitir guardar los cambios realizados en la información personal.</t>
  </si>
  <si>
    <t>El sistema debe validar que el nombre del usuario no esté vacío.</t>
  </si>
  <si>
    <t>El sistema debe validar que el apellido del usuario no esté vacío.</t>
  </si>
  <si>
    <t>El sistema debe validar que el correo electrónico no esté vacío.</t>
  </si>
  <si>
    <t>El sistema debe actualizar la información del usuario cuando los datos ingresados sean válidos.</t>
  </si>
  <si>
    <t>El sistema debe mostrar la información actualizada después de guardar los cambios.</t>
  </si>
  <si>
    <r>
      <t xml:space="preserve">El sistema debe mostrar una sección de </t>
    </r>
    <r>
      <rPr>
        <b/>
        <sz val="11"/>
        <color theme="1"/>
        <rFont val="Calibri"/>
        <family val="2"/>
      </rPr>
      <t>Seguridad</t>
    </r>
    <r>
      <rPr>
        <sz val="11"/>
        <color theme="1"/>
        <rFont val="Calibri"/>
        <family val="2"/>
      </rPr>
      <t>.</t>
    </r>
  </si>
  <si>
    <t>El sistema debe permitir ingresar la contraseña actual del usuario.</t>
  </si>
  <si>
    <t>El sistema debe permitir ingresar una nueva contraseña.</t>
  </si>
  <si>
    <t>El sistema debe permitir confirmar la nueva contraseña.</t>
  </si>
  <si>
    <t>El sistema debe validar que la contraseña actual sea correcta antes de cambiar la contraseña.</t>
  </si>
  <si>
    <r>
      <t xml:space="preserve">El sistema debe validar que la nueva contraseña tenga mínimo </t>
    </r>
    <r>
      <rPr>
        <b/>
        <sz val="11"/>
        <color theme="1"/>
        <rFont val="Calibri"/>
        <family val="2"/>
      </rPr>
      <t>6 caracteres</t>
    </r>
    <r>
      <rPr>
        <sz val="11"/>
        <color theme="1"/>
        <rFont val="Calibri"/>
        <family val="2"/>
      </rPr>
      <t>.</t>
    </r>
  </si>
  <si>
    <t>El sistema debe validar que la nueva contraseña y la confirmación coincidan.</t>
  </si>
  <si>
    <t>El sistema debe impedir el cambio de contraseña si las nuevas contraseñas no coinciden.</t>
  </si>
  <si>
    <r>
      <t xml:space="preserve">El sistema debe mostrar el mensaje </t>
    </r>
    <r>
      <rPr>
        <b/>
        <sz val="11"/>
        <color theme="1"/>
        <rFont val="Calibri"/>
        <family val="2"/>
      </rPr>
      <t>Las nuevas contraseñas no coinciden</t>
    </r>
    <r>
      <rPr>
        <sz val="11"/>
        <color theme="1"/>
        <rFont val="Calibri"/>
        <family val="2"/>
      </rPr>
      <t xml:space="preserve"> cuando exista diferencia entre ambos campos.</t>
    </r>
  </si>
  <si>
    <t>El sistema debe impedir el cambio de contraseña si la contraseña actual es incorrecta.</t>
  </si>
  <si>
    <t>El sistema debe permitir cambiar la contraseña cuando la contraseña actual sea correcta y la nueva contraseña cumpla las validaciones.</t>
  </si>
  <si>
    <r>
      <t xml:space="preserve">El sistema debe mostrar un botón </t>
    </r>
    <r>
      <rPr>
        <b/>
        <sz val="11"/>
        <color theme="1"/>
        <rFont val="Calibri"/>
        <family val="2"/>
      </rPr>
      <t>Cambiar Contraseña</t>
    </r>
    <r>
      <rPr>
        <sz val="11"/>
        <color theme="1"/>
        <rFont val="Calibri"/>
        <family val="2"/>
      </rPr>
      <t>.</t>
    </r>
  </si>
  <si>
    <t>El sistema debe actualizar la contraseña del usuario después de una validación correcta.</t>
  </si>
  <si>
    <r>
      <t xml:space="preserve">El sistema debe mostrar el mensaje </t>
    </r>
    <r>
      <rPr>
        <b/>
        <sz val="11"/>
        <color theme="1"/>
        <rFont val="Calibri"/>
        <family val="2"/>
      </rPr>
      <t>Contraseña actualizada correctamente</t>
    </r>
    <r>
      <rPr>
        <sz val="11"/>
        <color theme="1"/>
        <rFont val="Calibri"/>
        <family val="2"/>
      </rPr>
      <t xml:space="preserve"> cuando el cambio sea exitoso.</t>
    </r>
  </si>
  <si>
    <t>El sistema debe limpiar o reiniciar los campos de contraseña después de un cambio exitoso, según la lógica definida.</t>
  </si>
  <si>
    <t>El sistema debe mantener al usuario dentro del módulo de configuración después de actualizar la contraseña.</t>
  </si>
  <si>
    <t>El sistema debe permitir cerrar sesión desde el módulo de configuración.</t>
  </si>
  <si>
    <t>El sistema debe permitir navegar hacia otros módulos desde el menú lateral.</t>
  </si>
  <si>
    <t>El sistema debe mostrar mensajes de error cuando no se puedan actualizar los datos.</t>
  </si>
  <si>
    <t>El sistema debe mostrar mensajes de éxito cuando las actualizaciones se realicen correctamente.</t>
  </si>
  <si>
    <t>El sistema debe diferenciar visualmente los mensajes de error y los mensajes de éxito.</t>
  </si>
  <si>
    <t>El sistema debe permitir gestionar la configuración únicamente a usuarios autenticados.</t>
  </si>
  <si>
    <t>El sistema debe impedir el acceso al módulo de configuración a usuarios sin sesión activa.</t>
  </si>
  <si>
    <t>El sistema debe aplicar los cambios de configuración al usuario autenticado correspondiente.</t>
  </si>
  <si>
    <t>La interfaz del módulo de configuración debe mantener coherencia visual con la identidad gráfica de Mai Shop.</t>
  </si>
  <si>
    <t>La vista debe ser clara, ordenada y fácil de interpretar.</t>
  </si>
  <si>
    <t>La información del usuario autenticado debe presentarse de forma destacada.</t>
  </si>
  <si>
    <r>
      <t xml:space="preserve">Las secciones </t>
    </r>
    <r>
      <rPr>
        <b/>
        <sz val="11"/>
        <color theme="1"/>
        <rFont val="Calibri"/>
        <family val="2"/>
      </rPr>
      <t>Información Personal</t>
    </r>
    <r>
      <rPr>
        <sz val="11"/>
        <color theme="1"/>
        <rFont val="Calibri"/>
        <family val="2"/>
      </rPr>
      <t xml:space="preserve"> y </t>
    </r>
    <r>
      <rPr>
        <b/>
        <sz val="11"/>
        <color theme="1"/>
        <rFont val="Calibri"/>
        <family val="2"/>
      </rPr>
      <t>Seguridad</t>
    </r>
    <r>
      <rPr>
        <sz val="11"/>
        <color theme="1"/>
        <rFont val="Calibri"/>
        <family val="2"/>
      </rPr>
      <t xml:space="preserve"> deben diferenciarse visualmente.</t>
    </r>
  </si>
  <si>
    <t>Los formularios deben estar organizados en campos claramente etiquetados.</t>
  </si>
  <si>
    <t>Los campos de información personal deben ser fáciles de leer y modificar.</t>
  </si>
  <si>
    <t>Los campos de contraseña deben estar visualmente separados de los datos personales.</t>
  </si>
  <si>
    <r>
      <t xml:space="preserve">El botón </t>
    </r>
    <r>
      <rPr>
        <b/>
        <sz val="11"/>
        <color theme="1"/>
        <rFont val="Calibri"/>
        <family val="2"/>
      </rPr>
      <t>Guardar Cambios</t>
    </r>
    <r>
      <rPr>
        <sz val="11"/>
        <color theme="1"/>
        <rFont val="Calibri"/>
        <family val="2"/>
      </rPr>
      <t xml:space="preserve"> debe identificarse como acción principal de actualización de datos personales.</t>
    </r>
  </si>
  <si>
    <r>
      <t xml:space="preserve">El botón </t>
    </r>
    <r>
      <rPr>
        <b/>
        <sz val="11"/>
        <color theme="1"/>
        <rFont val="Calibri"/>
        <family val="2"/>
      </rPr>
      <t>Cambiar Contraseña</t>
    </r>
    <r>
      <rPr>
        <sz val="11"/>
        <color theme="1"/>
        <rFont val="Calibri"/>
        <family val="2"/>
      </rPr>
      <t xml:space="preserve"> debe identificarse como acción principal de seguridad.</t>
    </r>
  </si>
  <si>
    <t>Los mensajes de error deben mostrarse de forma clara y visible.</t>
  </si>
  <si>
    <t>Los mensajes de éxito deben mostrarse de forma clara y visible.</t>
  </si>
  <si>
    <t>Los mensajes de validación deben indicar la causa del problema.</t>
  </si>
  <si>
    <r>
      <t xml:space="preserve">El mensaje </t>
    </r>
    <r>
      <rPr>
        <b/>
        <sz val="11"/>
        <color theme="1"/>
        <rFont val="Calibri"/>
        <family val="2"/>
      </rPr>
      <t>Las nuevas contraseñas no coinciden</t>
    </r>
    <r>
      <rPr>
        <sz val="11"/>
        <color theme="1"/>
        <rFont val="Calibri"/>
        <family val="2"/>
      </rPr>
      <t xml:space="preserve"> debe ser comprensible para el usuario.</t>
    </r>
  </si>
  <si>
    <r>
      <t xml:space="preserve">El mensaje </t>
    </r>
    <r>
      <rPr>
        <b/>
        <sz val="11"/>
        <color theme="1"/>
        <rFont val="Calibri"/>
        <family val="2"/>
      </rPr>
      <t>Contraseña actualizada correctamente</t>
    </r>
    <r>
      <rPr>
        <sz val="11"/>
        <color theme="1"/>
        <rFont val="Calibri"/>
        <family val="2"/>
      </rPr>
      <t xml:space="preserve"> debe ser fácil de identificar.</t>
    </r>
  </si>
  <si>
    <t>El sistema debe proteger la información personal del usuario autenticado.</t>
  </si>
  <si>
    <t>El sistema debe proteger el acceso a la configuración mediante autenticación.</t>
  </si>
  <si>
    <t>El sistema no debe permitir que usuarios no autenticados accedan a la configuración.</t>
  </si>
  <si>
    <t>El sistema no debe mostrar información personal de otros usuarios sin autorización.</t>
  </si>
  <si>
    <t>La contraseña actual, la nueva contraseña y la confirmación no deben mostrarse en texto plano.</t>
  </si>
  <si>
    <t>La contraseña nueva no debe almacenarse en texto plano.</t>
  </si>
  <si>
    <t>El sistema debe aplicar mecanismos seguros de almacenamiento de contraseña, como hash.</t>
  </si>
  <si>
    <t>El cambio de contraseña debe requerir la contraseña actual para evitar modificaciones no autorizadas.</t>
  </si>
  <si>
    <t>El sistema debe validar los datos antes de enviarlos o guardarlos.</t>
  </si>
  <si>
    <t>El sistema debe evitar cambios de contraseña con datos incompletos o inconsistentes.</t>
  </si>
  <si>
    <t>El sistema debe mantener la integridad de la información del usuario.</t>
  </si>
  <si>
    <t>El sistema debe responder en un tiempo adecuado al guardar cambios personales.</t>
  </si>
  <si>
    <t>El sistema debe responder en un tiempo adecuado al cambiar la contraseña.</t>
  </si>
  <si>
    <t>La vista debe mantener estabilidad visual al mostrar mensajes de error o éxito.</t>
  </si>
  <si>
    <t>La vista de configuración debe visualizarse correctamente en computadores de escritorio.</t>
  </si>
  <si>
    <t>Los íconos deben representar correctamente información personal, correo, rol y seguridad.</t>
  </si>
  <si>
    <t>El diseño debe evitar saturación visual y separar adecuadamente las funciones de perfil y seguridad.</t>
  </si>
  <si>
    <t>El sistema debe permitir mantenimiento sencillo del módulo de configuración.</t>
  </si>
  <si>
    <t>El módulo debe permitir agregar nuevas opciones de configuración en versiones futuras.</t>
  </si>
  <si>
    <t>La solución debe priorizar seguridad, claridad, control del usuario y facilidad de uso.</t>
  </si>
  <si>
    <t>MÓDULO DASHBOARD PEDIDOS</t>
  </si>
  <si>
    <t>MÓDULO DASHBOARD VENDEDORES</t>
  </si>
  <si>
    <t>MÓDULO DASHBOARD COMISIONES</t>
  </si>
  <si>
    <t>MÓDULO DASHBOARD REPORTES</t>
  </si>
  <si>
    <t>MÓDULO DASHBOARD CONFIG</t>
  </si>
  <si>
    <t>El sistema debe mostrar un dashboard exclusivo para el vendedor autenticado.</t>
  </si>
  <si>
    <t>El sistema debe mostrar un mensaje de bienvenida personalizado con el nombre del vendedor.</t>
  </si>
  <si>
    <t>El sistema debe mostrar un resumen de la actividad de ventas del vendedor.</t>
  </si>
  <si>
    <t>El sistema debe mostrar un menú lateral específico para el perfil de vendedor.</t>
  </si>
  <si>
    <t>El sistema debe mostrar el logo de Mai Shop en el panel de vendedor.</t>
  </si>
  <si>
    <t>El sistema debe permitir navegar al dashboard del vendedor desde el menú lateral.</t>
  </si>
  <si>
    <t>El sistema debe permitir navegar al catálogo de productos desde el menú lateral.</t>
  </si>
  <si>
    <t>El sistema debe permitir navegar al formulario de nuevo pedido desde el menú lateral.</t>
  </si>
  <si>
    <t>El sistema debe permitir navegar al listado de pedidos del vendedor desde el menú lateral.</t>
  </si>
  <si>
    <t>El sistema debe permitir navegar al módulo de comisiones del vendedor desde el menú lateral.</t>
  </si>
  <si>
    <t>El sistema debe calcular y mostrar el valor total de ventas realizadas por el vendedor.</t>
  </si>
  <si>
    <t>El sistema debe calcular y mostrar el valor total de comisiones generadas por el vendedor.</t>
  </si>
  <si>
    <t>El sistema debe calcular y mostrar el valor total de comisiones pagadas al vendedor.</t>
  </si>
  <si>
    <t>El sistema debe calcular y mostrar el valor pendiente por cobrar del vendedor.</t>
  </si>
  <si>
    <t>El sistema debe listar los pedidos más recientes asociados al vendedor autenticado.</t>
  </si>
  <si>
    <t>El sistema debe mostrar el número de pedido en la tabla de últimos pedidos.</t>
  </si>
  <si>
    <t>El sistema debe mostrar la fecha del pedido en la tabla de últimos pedidos.</t>
  </si>
  <si>
    <t>El sistema debe mostrar el valor total del pedido.</t>
  </si>
  <si>
    <t>El sistema debe mostrar el valor de la comisión generada por el pedido.</t>
  </si>
  <si>
    <t>El sistema debe mostrar el estado del pedido.</t>
  </si>
  <si>
    <t>El sistema debe mostrar una etiqueta visual para identificar pedidos pendientes.</t>
  </si>
  <si>
    <t>El sistema debe mostrar únicamente los pedidos relacionados con el vendedor autenticado.</t>
  </si>
  <si>
    <t>El sistema debe evitar que el vendedor visualice pedidos de otros vendedores.</t>
  </si>
  <si>
    <t>El sistema debe mostrar únicamente las comisiones relacionadas con el vendedor autenticado.</t>
  </si>
  <si>
    <t>El sistema debe evitar que el vendedor visualice comisiones de otros vendedores.</t>
  </si>
  <si>
    <t>El sistema debe actualizar los indicadores del dashboard cuando el vendedor registre nuevos pedidos.</t>
  </si>
  <si>
    <t>El sistema debe actualizar las comisiones ganadas cuando se registren ventas válidas.</t>
  </si>
  <si>
    <t>El sistema debe actualizar el total pagado cuando el administrador registre pagos de comisión.</t>
  </si>
  <si>
    <t>El sistema debe actualizar el valor pendiente por cobrar cuando existan comisiones no pagadas.</t>
  </si>
  <si>
    <t>El sistema debe mostrar valores en cero cuando el vendedor no tenga ventas, comisiones o pagos registrados.</t>
  </si>
  <si>
    <t>El sistema debe permitir cerrar sesión desde el panel de vendedor.</t>
  </si>
  <si>
    <t>El sistema debe impedir el acceso al panel de vendedor si no existe una sesión activa.</t>
  </si>
  <si>
    <t>El sistema debe restringir el panel de vendedor únicamente a usuarios con rol de vendedor.</t>
  </si>
  <si>
    <t>El sistema debe redirigir al login cuando el vendedor cierre sesión.</t>
  </si>
  <si>
    <t>El sistema debe mantener disponible la navegación lateral durante la sesión del vendedor.</t>
  </si>
  <si>
    <t>El sistema debe servir como punto principal de consulta y operación para el vendedor.</t>
  </si>
  <si>
    <t>El sistema debe permitir que el vendedor consulte rápidamente su actividad comercial.</t>
  </si>
  <si>
    <t>El sistema debe permitir que el vendedor identifique su estado de ventas, comisiones y pedidos desde una sola vista.</t>
  </si>
  <si>
    <t>El sistema debe permitir acceder al panel de vendedor después de iniciar sesión con una cuenta de vendedor.</t>
  </si>
  <si>
    <t>El sistema debe mostrar el texto Panel de Vendedor en la barra lateral.</t>
  </si>
  <si>
    <t>El sistema debe incluir en el menú lateral la opción Nuevo Pedido.</t>
  </si>
  <si>
    <t>El sistema debe incluir en el menú lateral la opción Mis Pedidos.</t>
  </si>
  <si>
    <t>El sistema debe mostrar una tarjeta resumen de Ventas Totales del vendedor.</t>
  </si>
  <si>
    <t>El sistema debe mostrar una tarjeta resumen de Comisiones Ganadas.</t>
  </si>
  <si>
    <t>El sistema debe mostrar una tarjeta resumen de Total Pagado.</t>
  </si>
  <si>
    <t>El sistema debe mostrar una tarjeta resumen de Pendiente por Cobrar.</t>
  </si>
  <si>
    <t>El sistema debe mostrar una sección de Acciones Rápidas.</t>
  </si>
  <si>
    <t>El sistema debe mostrar un botón para Crear Nuevo Pedido.</t>
  </si>
  <si>
    <t>El sistema debe permitir redirigir al formulario de creación de pedido al seleccionar Crear Nuevo Pedido.</t>
  </si>
  <si>
    <t>El sistema debe mostrar un botón para Ver Comisiones.</t>
  </si>
  <si>
    <t>El sistema debe permitir redirigir al módulo de comisiones del vendedor al seleccionar Ver Comisiones.</t>
  </si>
  <si>
    <t>El sistema debe mostrar una sección de Últimos Pedidos.</t>
  </si>
  <si>
    <t>El sistema debe mostrar el botón Ver Todos en la sección de últimos pedidos.</t>
  </si>
  <si>
    <t>El sistema debe permitir redirigir al listado completo de pedidos del vendedor al seleccionar Ver Todos.</t>
  </si>
  <si>
    <t>La interfaz del panel de vendedor debe mantener coherencia visual con la identidad gráfica de Mai Shop.</t>
  </si>
  <si>
    <t>El dashboard del vendedor debe ser claro, ordenado y fácil de interpretar.</t>
  </si>
  <si>
    <t>El diseño del panel de vendedor debe diferenciarse funcionalmente del panel administrativo.</t>
  </si>
  <si>
    <t>El menú lateral del vendedor debe mostrar únicamente las opciones correspondientes a su rol.</t>
  </si>
  <si>
    <t>Las tarjetas resumen deben ser visibles y comprensibles para el vendedor.</t>
  </si>
  <si>
    <t>Los valores de ventas, comisiones, pagos y pendientes deben ser legibles a simple vista.</t>
  </si>
  <si>
    <t>Los botones de acciones rápidas deben destacarse como accesos principales.</t>
  </si>
  <si>
    <t>La sección de últimos pedidos debe mantener una estructura clara y organizada.</t>
  </si>
  <si>
    <t>La tabla de últimos pedidos debe permitir leer fácilmente pedido, fecha, total, comisión y estado.</t>
  </si>
  <si>
    <t>Los estados de los pedidos deben diferenciarse visualmente mediante etiquetas claras.</t>
  </si>
  <si>
    <t>La interfaz debe evitar saturación visual y presentar solo información relevante para el vendedor.</t>
  </si>
  <si>
    <t>El panel debe facilitar la consulta rápida de la actividad comercial del vendedor.</t>
  </si>
  <si>
    <t>El sistema debe cargar el dashboard del vendedor en un tiempo adecuado.</t>
  </si>
  <si>
    <t>Las métricas del vendedor deben consultarse de forma eficiente.</t>
  </si>
  <si>
    <t>La tabla de últimos pedidos debe cargar sin afectar la estabilidad visual de la página.</t>
  </si>
  <si>
    <t>La navegación entre módulos del vendedor debe ejecutarse sin errores.</t>
  </si>
  <si>
    <r>
      <t xml:space="preserve">Los botones </t>
    </r>
    <r>
      <rPr>
        <b/>
        <sz val="11"/>
        <color theme="1"/>
        <rFont val="Calibri"/>
      </rPr>
      <t>Crear Nuevo Pedido</t>
    </r>
    <r>
      <rPr>
        <sz val="11"/>
        <color theme="1"/>
        <rFont val="Calibri"/>
      </rPr>
      <t xml:space="preserve">, </t>
    </r>
    <r>
      <rPr>
        <b/>
        <sz val="11"/>
        <color theme="1"/>
        <rFont val="Calibri"/>
      </rPr>
      <t>Ver Comisiones</t>
    </r>
    <r>
      <rPr>
        <sz val="11"/>
        <color theme="1"/>
        <rFont val="Calibri"/>
      </rPr>
      <t xml:space="preserve"> y </t>
    </r>
    <r>
      <rPr>
        <b/>
        <sz val="11"/>
        <color theme="1"/>
        <rFont val="Calibri"/>
      </rPr>
      <t>Ver Todos</t>
    </r>
    <r>
      <rPr>
        <sz val="11"/>
        <color theme="1"/>
        <rFont val="Calibri"/>
      </rPr>
      <t xml:space="preserve"> deben responder correctamente al clic.</t>
    </r>
  </si>
  <si>
    <t>El sistema debe proteger el acceso al panel mediante autenticación.</t>
  </si>
  <si>
    <t>El sistema debe validar el rol del usuario antes de permitir el acceso al panel de vendedor.</t>
  </si>
  <si>
    <t>El sistema no debe mostrar información administrativa al vendedor.</t>
  </si>
  <si>
    <t>El sistema no debe mostrar datos de otros vendedores al usuario autenticado.</t>
  </si>
  <si>
    <t>El sistema debe garantizar la confidencialidad de las ventas y comisiones de cada vendedor.</t>
  </si>
  <si>
    <t>La información mostrada debe corresponder a los datos reales registrados en el sistema.</t>
  </si>
  <si>
    <t>El sistema debe mantener consistencia entre el dashboard del vendedor, sus pedidos y sus comisiones.</t>
  </si>
  <si>
    <t>Los cálculos de ventas y comisiones deben ser precisos y confiables.</t>
  </si>
  <si>
    <t>El sistema debe manejar correctamente escenarios donde el vendedor no tenga pedidos registrados.</t>
  </si>
  <si>
    <t>El sistema debe manejar correctamente escenarios donde el vendedor no tenga comisiones generadas.</t>
  </si>
  <si>
    <t>El sistema debe mostrar valores en cero cuando no existan datos disponibles.</t>
  </si>
  <si>
    <t>El panel debe ser compatible con Google Chrome, Microsoft Edge y Mozilla Firefox.</t>
  </si>
  <si>
    <t>La vista del panel de vendedor debe visualizarse correctamente en computadores de escritorio.</t>
  </si>
  <si>
    <t>La interfaz debe mantener consistencia en colores, tipografía, espaciado e íconos.</t>
  </si>
  <si>
    <t>Los íconos deben representar correctamente ventas, comisiones, pagos, pendientes y navegación.</t>
  </si>
  <si>
    <t>El contraste entre texto, fondo y botones debe facilitar la lectura.</t>
  </si>
  <si>
    <t>El diseño debe permitir identificar rápidamente las acciones principales disponibles para el vendedor.</t>
  </si>
  <si>
    <t>El sistema debe mantener estabilidad visual durante la carga de métricas y pedidos.</t>
  </si>
  <si>
    <t>El código del panel de vendedor debe estar organizado para facilitar mantenimiento.</t>
  </si>
  <si>
    <t>El módulo debe permitir agregar nuevas métricas de vendedor en futuras versiones.</t>
  </si>
  <si>
    <t>El módulo debe permitir agregar nuevos accesos rápidos sin afectar la estructura general.</t>
  </si>
  <si>
    <t>La solución debe priorizar claridad, seguridad por roles, facilidad de navegación y control de ventas del vendedor.</t>
  </si>
  <si>
    <t>MÓDULO VENDEDOR PRODUCTOS</t>
  </si>
  <si>
    <t>MÓDULO VENDEDOR INICIO</t>
  </si>
  <si>
    <t>El sistema debe mostrar un texto descriptivo indicando que el vendedor puede consultar los productos disponibles del catálogo.</t>
  </si>
  <si>
    <t>El sistema debe listar únicamente los productos disponibles para realizar pedidos.</t>
  </si>
  <si>
    <t>El sistema debe mostrar la cantidad de productos disponibles en el catálogo.</t>
  </si>
  <si>
    <t>El sistema debe mostrar los productos en formato de tarjetas visuales.</t>
  </si>
  <si>
    <t>El sistema debe permitir buscar productos por nombre o descripción.</t>
  </si>
  <si>
    <t>El sistema debe mostrar los resultados que coincidan con el texto ingresado.</t>
  </si>
  <si>
    <t>El sistema debe mostrar la cantidad de resultados encontrados después de una búsqueda.</t>
  </si>
  <si>
    <t>El sistema debe mostrar el texto buscado dentro del mensaje de resultados.</t>
  </si>
  <si>
    <t>El sistema debe permitir limpiar el texto de búsqueda mediante el ícono de limpieza.</t>
  </si>
  <si>
    <t>El sistema debe restaurar el listado de productos al limpiar la búsqueda.</t>
  </si>
  <si>
    <t>El sistema debe permitir iniciar la creación de un pedido desde el catálogo de productos.</t>
  </si>
  <si>
    <t>El sistema debe mostrar un texto descriptivo indicando que el vendedor puede registrar una nueva venta y ganar comisiones.</t>
  </si>
  <si>
    <t>El sistema debe permitir ingresar el teléfono o contacto del cliente.</t>
  </si>
  <si>
    <t>El sistema debe validar que el teléfono o contacto sea obligatorio.</t>
  </si>
  <si>
    <t>El sistema debe permitir seleccionar o ingresar la fecha de entrega.</t>
  </si>
  <si>
    <t>El sistema debe permitir ingresar la dirección de entrega.</t>
  </si>
  <si>
    <t>El sistema debe listar los productos disponibles dentro del formulario de pedido.</t>
  </si>
  <si>
    <t>El sistema debe mostrar el nombre de cada producto dentro del formulario de pedido.</t>
  </si>
  <si>
    <t>El sistema debe mostrar la descripción de cada producto dentro del formulario de pedido.</t>
  </si>
  <si>
    <t>El sistema debe mostrar el precio de cada producto dentro del formulario de pedido.</t>
  </si>
  <si>
    <t>El sistema debe permitir aumentar la cantidad de cada producto mediante el botón de suma.</t>
  </si>
  <si>
    <t>El sistema debe permitir disminuir la cantidad de cada producto mediante el botón de resta.</t>
  </si>
  <si>
    <t>El sistema debe mostrar la cantidad seleccionada de cada producto.</t>
  </si>
  <si>
    <t>El sistema debe impedir que la cantidad de un producto sea menor que cero.</t>
  </si>
  <si>
    <t>El sistema debe calcular el total del pedido según los productos y cantidades seleccionadas.</t>
  </si>
  <si>
    <t>El sistema debe calcular la comisión del vendedor según el porcentaje asignado.</t>
  </si>
  <si>
    <t>El sistema debe mostrar la comisión estimada del vendedor.</t>
  </si>
  <si>
    <t>El sistema debe mostrar el porcentaje de comisión aplicado al pedido.</t>
  </si>
  <si>
    <t>El sistema debe actualizar el total del pedido al modificar cantidades.</t>
  </si>
  <si>
    <t>El sistema debe actualizar la comisión estimada al modificar cantidades.</t>
  </si>
  <si>
    <t>El sistema debe validar que exista al menos un producto seleccionado antes de crear el pedido.</t>
  </si>
  <si>
    <t>El sistema debe validar que los datos obligatorios de entrega estén completos antes de crear el pedido.</t>
  </si>
  <si>
    <t>El sistema debe guardar el pedido con la información de contacto, fecha de entrega, dirección y productos seleccionados.</t>
  </si>
  <si>
    <t>El sistema debe asociar el pedido creado al vendedor autenticado.</t>
  </si>
  <si>
    <t>El sistema debe registrar la comisión correspondiente al vendedor después de crear el pedido.</t>
  </si>
  <si>
    <t>El sistema debe permitir cancelar la creación del pedido.</t>
  </si>
  <si>
    <t>El sistema debe redirigir al vendedor al panel o listado correspondiente al cancelar la creación del pedido.</t>
  </si>
  <si>
    <t>El sistema debe permitir cerrar sesión desde el catálogo y desde la creación de pedido.</t>
  </si>
  <si>
    <t>El sistema debe mostrar únicamente funciones permitidas para el rol vendedor.</t>
  </si>
  <si>
    <t>El sistema debe impedir que el vendedor cree productos desde su catálogo.</t>
  </si>
  <si>
    <t>El sistema debe impedir que el vendedor edite productos desde su catálogo.</t>
  </si>
  <si>
    <t>El sistema debe impedir que el vendedor elimine productos desde su catálogo.</t>
  </si>
  <si>
    <t>El sistema debe permitir al vendedor consultar productos sin acceder a funciones administrativas.</t>
  </si>
  <si>
    <t>El sistema debe permitir crear pedidos únicamente a usuarios autenticados con rol vendedor.</t>
  </si>
  <si>
    <t>El sistema debe impedir el acceso al módulo de productos y pedidos a usuarios sin sesión activa.</t>
  </si>
  <si>
    <t>El sistema debe permitir al vendedor acceder al módulo de Productos desde el menú lateral.</t>
  </si>
  <si>
    <t>El sistema debe resaltar visualmente la opción Productos cuando el vendedor se encuentre en el catálogo.</t>
  </si>
  <si>
    <t>El sistema debe mostrar la vista Catálogo de Productos para el vendedor.</t>
  </si>
  <si>
    <t>El sistema debe mostrar un botón Pedir en cada producto disponible.</t>
  </si>
  <si>
    <t>El sistema debe mostrar un campo de búsqueda con placeholder Buscar por nombre o descripción.</t>
  </si>
  <si>
    <t>El sistema debe permitir ejecutar la búsqueda mediante el botón Buscar.</t>
  </si>
  <si>
    <t>El sistema debe permitir seleccionar el botón Pedir de un producto.</t>
  </si>
  <si>
    <t>El sistema debe redirigir al vendedor a la vista Crear Nuevo Pedido al presionar el botón Pedir.</t>
  </si>
  <si>
    <t>El sistema debe mostrar la vista Crear Nuevo Pedido.</t>
  </si>
  <si>
    <t>El sistema debe mostrar una sección de Datos de Entrega.</t>
  </si>
  <si>
    <t>El sistema debe mostrar una sección de Seleccionar Productos.</t>
  </si>
  <si>
    <t>El sistema debe mostrar el Total del Pedido.</t>
  </si>
  <si>
    <t>El sistema debe mostrar un botón Crear Pedido.</t>
  </si>
  <si>
    <t>El sistema debe permitir registrar el pedido al presionar Crear Pedido.</t>
  </si>
  <si>
    <t>El sistema debe mostrar un botón Cancelar dentro de la vista de creación de pedido.</t>
  </si>
  <si>
    <t>La interfaz del catálogo de productos del vendedor debe mantener coherencia visual con la identidad gráfica de Mai Shop.</t>
  </si>
  <si>
    <t>La vista de productos del vendedor debe ser clara, ordenada y fácil de interpretar.</t>
  </si>
  <si>
    <t>Las tarjetas de productos deben presentar la información de forma visualmente atractiva.</t>
  </si>
  <si>
    <t>Las imágenes de productos deben visualizarse correctamente dentro de cada tarjeta.</t>
  </si>
  <si>
    <t>El nombre, descripción y precio del producto deben ser legibles.</t>
  </si>
  <si>
    <r>
      <t xml:space="preserve">El botón </t>
    </r>
    <r>
      <rPr>
        <b/>
        <sz val="11"/>
        <color theme="1"/>
        <rFont val="Calibri"/>
      </rPr>
      <t>Pedir</t>
    </r>
    <r>
      <rPr>
        <sz val="11"/>
        <color theme="1"/>
        <rFont val="Calibri"/>
      </rPr>
      <t xml:space="preserve"> debe ser visible y fácil de identificar como acción principal del producto.</t>
    </r>
  </si>
  <si>
    <r>
      <t xml:space="preserve">El botón </t>
    </r>
    <r>
      <rPr>
        <b/>
        <sz val="11"/>
        <color theme="1"/>
        <rFont val="Calibri"/>
      </rPr>
      <t>Buscar</t>
    </r>
    <r>
      <rPr>
        <sz val="11"/>
        <color theme="1"/>
        <rFont val="Calibri"/>
      </rPr>
      <t xml:space="preserve"> debe responder correctamente al clic del usuario.</t>
    </r>
  </si>
  <si>
    <t>El mensaje de resultados de búsqueda debe ser claro para el vendedor.</t>
  </si>
  <si>
    <t>El catálogo debe manejar correctamente búsquedas sin resultados.</t>
  </si>
  <si>
    <t>El catálogo debe manejar correctamente productos sin imagen, si aplica.</t>
  </si>
  <si>
    <r>
      <t xml:space="preserve">La redirección desde el botón </t>
    </r>
    <r>
      <rPr>
        <b/>
        <sz val="11"/>
        <color theme="1"/>
        <rFont val="Calibri"/>
      </rPr>
      <t>Pedir</t>
    </r>
    <r>
      <rPr>
        <sz val="11"/>
        <color theme="1"/>
        <rFont val="Calibri"/>
      </rPr>
      <t xml:space="preserve"> hacia </t>
    </r>
    <r>
      <rPr>
        <b/>
        <sz val="11"/>
        <color theme="1"/>
        <rFont val="Calibri"/>
      </rPr>
      <t>Crear Nuevo Pedido</t>
    </r>
    <r>
      <rPr>
        <sz val="11"/>
        <color theme="1"/>
        <rFont val="Calibri"/>
      </rPr>
      <t xml:space="preserve"> debe ejecutarse sin errores.</t>
    </r>
  </si>
  <si>
    <t>La interfaz de creación de pedido debe mantener consistencia visual con el panel de vendedor.</t>
  </si>
  <si>
    <r>
      <t xml:space="preserve">La vista </t>
    </r>
    <r>
      <rPr>
        <b/>
        <sz val="11"/>
        <color theme="1"/>
        <rFont val="Calibri"/>
      </rPr>
      <t>Crear Nuevo Pedido</t>
    </r>
    <r>
      <rPr>
        <sz val="11"/>
        <color theme="1"/>
        <rFont val="Calibri"/>
      </rPr>
      <t xml:space="preserve"> debe organizar la información en secciones claras.</t>
    </r>
  </si>
  <si>
    <t>La sección de datos de entrega debe ser fácil de diligenciar.</t>
  </si>
  <si>
    <t>La sección de selección de productos debe ser clara y ordenada.</t>
  </si>
  <si>
    <t>Los controles de suma y resta de cantidades deben ser fáciles de usar.</t>
  </si>
  <si>
    <t>La comisión del vendedor debe ser visible y comprensible.</t>
  </si>
  <si>
    <t>Los cálculos de total y comisión deben actualizarse de forma inmediata o en un tiempo razonable.</t>
  </si>
  <si>
    <t>Los cálculos de pedido y comisión deben ser precisos y confiables.</t>
  </si>
  <si>
    <t>El sistema debe evitar cantidades negativas en los productos.</t>
  </si>
  <si>
    <t>El sistema debe evitar crear pedidos incompletos o sin productos seleccionados.</t>
  </si>
  <si>
    <t>El sistema debe proteger el acceso a estas vistas mediante autenticación.</t>
  </si>
  <si>
    <t>El sistema debe validar el rol del usuario antes de permitir crear pedidos.</t>
  </si>
  <si>
    <t>El sistema no debe mostrar opciones administrativas al vendedor.</t>
  </si>
  <si>
    <t>El sistema debe garantizar que cada pedido creado quede asociado al vendedor autenticado.</t>
  </si>
  <si>
    <t>El sistema debe garantizar que las comisiones se calculen con el porcentaje correspondiente al vendedor.</t>
  </si>
  <si>
    <t>El sistema debe mantener consistencia entre productos, pedidos y comisiones.</t>
  </si>
  <si>
    <t>El tiempo de carga del catálogo debe ser adecuado.</t>
  </si>
  <si>
    <t>El tiempo de creación del pedido debe ser razonable.</t>
  </si>
  <si>
    <t>La vista debe mantener estabilidad visual durante búsqueda, selección de cantidades y creación del pedido.</t>
  </si>
  <si>
    <t>El catálogo y la creación de pedido deben visualizarse correctamente en computadores de escritorio.</t>
  </si>
  <si>
    <t>Las vistas deben adaptarse correctamente a tablets.</t>
  </si>
  <si>
    <t>Las vistas deben conservar usabilidad en pantallas pequeñas, si aplica.</t>
  </si>
  <si>
    <t>Los botones principales deben tener buen contraste y ser fácilmente reconocibles.</t>
  </si>
  <si>
    <t>El módulo debe permitir agregar nuevos productos al catálogo sin afectar la vista del vendedor.</t>
  </si>
  <si>
    <t>El módulo debe permitir modificar el porcentaje de comisión sin afectar la estructura del formulario.</t>
  </si>
  <si>
    <t>La solución debe priorizar claridad, facilidad de venta, seguridad por rol y precisión en cálculos.</t>
  </si>
  <si>
    <t>El sistema debe marcar el campo teléfono o contacto como obligatorio.</t>
  </si>
  <si>
    <t>El sistema debe validar que el campo teléfono o contacto no esté vacío.</t>
  </si>
  <si>
    <t>El sistema debe mostrar un mensaje de validación cuando el campo teléfono o contacto esté vacío.</t>
  </si>
  <si>
    <t>El sistema debe permitir seleccionar una fecha de entrega.</t>
  </si>
  <si>
    <t>El sistema debe mostrar un selector de fecha para facilitar la elección de la fecha de entrega.</t>
  </si>
  <si>
    <t>El sistema debe validar que la fecha de entrega sea obligatoria.</t>
  </si>
  <si>
    <t>El sistema debe validar que la fecha de entrega sea igual o posterior a la fecha mínima permitida.</t>
  </si>
  <si>
    <t>El sistema debe impedir crear un pedido con una fecha de entrega anterior a la fecha permitida.</t>
  </si>
  <si>
    <t>El sistema debe mostrar un mensaje de validación cuando la fecha ingresada no sea válida.</t>
  </si>
  <si>
    <t>El sistema debe validar que la dirección de entrega esté diligenciada, según la lógica del sistema.</t>
  </si>
  <si>
    <t>El sistema debe listar los productos disponibles para el vendedor.</t>
  </si>
  <si>
    <t>El sistema debe mostrar el nombre de cada producto disponible.</t>
  </si>
  <si>
    <t>El sistema debe mostrar la descripción de cada producto disponible.</t>
  </si>
  <si>
    <t>El sistema debe mostrar el precio de cada producto disponible.</t>
  </si>
  <si>
    <t>El sistema debe permitir aumentar la cantidad de un producto mediante el botón de suma.</t>
  </si>
  <si>
    <t>El sistema debe permitir disminuir la cantidad de un producto mediante el botón de resta.</t>
  </si>
  <si>
    <t>El sistema debe permitir seleccionar varios productos dentro de un mismo pedido.</t>
  </si>
  <si>
    <t>El sistema debe calcular automáticamente el total del pedido según los productos y cantidades seleccionadas.</t>
  </si>
  <si>
    <t>El sistema debe calcular automáticamente la comisión del vendedor según el porcentaje asignado.</t>
  </si>
  <si>
    <t>El sistema debe mostrar el valor de la comisión estimada del vendedor.</t>
  </si>
  <si>
    <t>El sistema debe actualizar el total del pedido cuando el vendedor aumente o disminuya cantidades.</t>
  </si>
  <si>
    <t>El sistema debe actualizar la comisión del vendedor cuando cambie el total del pedido.</t>
  </si>
  <si>
    <t>El sistema debe validar que exista al menos un producto con cantidad mayor a cero antes de crear el pedido.</t>
  </si>
  <si>
    <t>El sistema debe impedir crear un pedido si todos los productos tienen cantidad cero.</t>
  </si>
  <si>
    <t>El sistema debe validar que los datos obligatorios de entrega estén completos antes de guardar el pedido.</t>
  </si>
  <si>
    <t>El sistema debe impedir la creación del pedido si existen errores de validación.</t>
  </si>
  <si>
    <t>El sistema debe guardar el pedido con el teléfono o contacto del cliente.</t>
  </si>
  <si>
    <t>El sistema debe guardar el pedido con la fecha de entrega seleccionada.</t>
  </si>
  <si>
    <t>El sistema debe guardar el pedido con la dirección de entrega ingresada.</t>
  </si>
  <si>
    <t>El sistema debe guardar los productos seleccionados con sus respectivas cantidades.</t>
  </si>
  <si>
    <t>El sistema debe guardar el total calculado del pedido.</t>
  </si>
  <si>
    <t>El sistema debe guardar la comisión calculada para el vendedor.</t>
  </si>
  <si>
    <t>El sistema debe mostrar un mensaje de éxito cuando el pedido sea creado correctamente.</t>
  </si>
  <si>
    <t>El sistema debe mostrar el número del pedido creado en el mensaje de confirmación.</t>
  </si>
  <si>
    <t>El sistema debe mostrar un texto descriptivo indicando que la vista corresponde al historial de ventas realizadas.</t>
  </si>
  <si>
    <t>El sistema debe listar los pedidos realizados por el vendedor autenticado.</t>
  </si>
  <si>
    <t>El sistema debe mostrar el número de cada pedido.</t>
  </si>
  <si>
    <t>El sistema debe mostrar el contacto asociado a cada pedido.</t>
  </si>
  <si>
    <t>El sistema debe mostrar la fecha de cada pedido.</t>
  </si>
  <si>
    <t>El sistema debe mostrar el total de cada pedido.</t>
  </si>
  <si>
    <t>El sistema debe mostrar la comisión generada por cada pedido.</t>
  </si>
  <si>
    <t>El sistema debe mostrar el estado de pago del pedido.</t>
  </si>
  <si>
    <t>El sistema debe mostrar una columna de acciones para cada pedido.</t>
  </si>
  <si>
    <t>El sistema debe permitir filtrar los pedidos por estado.</t>
  </si>
  <si>
    <t>El sistema debe actualizar el listado de pedidos según el estado seleccionado.</t>
  </si>
  <si>
    <t>El sistema debe mostrar una etiqueta visual para identificar pedidos sin pago.</t>
  </si>
  <si>
    <t>El sistema debe permitir al vendedor subir un comprobante de pago desde la columna de acciones.</t>
  </si>
  <si>
    <t>El sistema debe mostrar una acción de carga de comprobante en los pedidos que estén sin pago.</t>
  </si>
  <si>
    <t>El sistema debe asociar el comprobante de pago al pedido correspondiente.</t>
  </si>
  <si>
    <t>El sistema debe mostrar únicamente los pedidos asociados al vendedor autenticado.</t>
  </si>
  <si>
    <t>El sistema debe impedir que un vendedor visualice pedidos de otros vendedores.</t>
  </si>
  <si>
    <t>El sistema debe mantener sincronizada la información de pedidos con el panel del vendedor.</t>
  </si>
  <si>
    <t>El sistema debe actualizar las ventas totales del vendedor después de crear un pedido.</t>
  </si>
  <si>
    <t>El sistema debe actualizar las comisiones ganadas después de crear un pedido válido.</t>
  </si>
  <si>
    <t>El sistema debe permitir cerrar sesión desde las vistas de creación y consulta de pedidos.</t>
  </si>
  <si>
    <t>El sistema debe permitir crear pedidos únicamente a usuarios autenticados con rol de vendedor.</t>
  </si>
  <si>
    <t>El sistema debe impedir el acceso a los módulos de pedidos si no existe una sesión activa.</t>
  </si>
  <si>
    <t>El sistema debe permitir al vendedor acceder al módulo Nuevo Pedido desde el menú lateral.</t>
  </si>
  <si>
    <t>El sistema debe resaltar visualmente la opción Nuevo Pedido cuando el vendedor se encuentre en la vista de creación.</t>
  </si>
  <si>
    <t>El sistema debe mostrar el botón Crear Pedido.</t>
  </si>
  <si>
    <t>El sistema debe permitir registrar el pedido al presionar el botón Crear Pedido.</t>
  </si>
  <si>
    <t>El sistema debe crear el pedido con estado inicial Pendiente.</t>
  </si>
  <si>
    <t>El sistema debe crear el pedido con estado de pago Sin Pago.</t>
  </si>
  <si>
    <t>El sistema debe redirigir automáticamente al vendedor a la vista Mis Pedidos después de crear el pedido.</t>
  </si>
  <si>
    <t>El sistema debe mostrar el pedido recién creado en la vista Mis Pedidos.</t>
  </si>
  <si>
    <t>El sistema debe mostrar un botón Cancelar en la vista de creación de pedido.</t>
  </si>
  <si>
    <t>El sistema debe redirigir al vendedor fuera de la vista de creación cuando seleccione Cancelar.</t>
  </si>
  <si>
    <t>El sistema debe permitir acceder al módulo Mis Pedidos desde el menú lateral.</t>
  </si>
  <si>
    <t>El sistema debe resaltar visualmente la opción Mis Pedidos cuando el vendedor se encuentre en esa vista.</t>
  </si>
  <si>
    <t>El sistema debe mostrar la vista Mis Pedidos.</t>
  </si>
  <si>
    <t>El sistema debe mostrar las opciones de filtro Todos, Pendiente, En Proceso y Completado.</t>
  </si>
  <si>
    <t>La interfaz de creación de pedido debe mantener coherencia visual con la identidad gráfica de Mai Shop.</t>
  </si>
  <si>
    <r>
      <t xml:space="preserve">La vista </t>
    </r>
    <r>
      <rPr>
        <b/>
        <sz val="11"/>
        <color theme="1"/>
        <rFont val="Calibri"/>
      </rPr>
      <t>Crear Nuevo Pedido</t>
    </r>
    <r>
      <rPr>
        <sz val="11"/>
        <color theme="1"/>
        <rFont val="Calibri"/>
      </rPr>
      <t xml:space="preserve"> debe ser clara, ordenada y fácil de diligenciar.</t>
    </r>
  </si>
  <si>
    <t>La sección de datos de entrega debe estar visualmente separada de la sección de productos.</t>
  </si>
  <si>
    <t>Los campos de teléfono, fecha y dirección deben estar correctamente etiquetados.</t>
  </si>
  <si>
    <t>Los mensajes de validación deben ser claros y comprensibles para el vendedor.</t>
  </si>
  <si>
    <t>El mensaje de campo obligatorio debe indicar claramente qué dato falta por completar.</t>
  </si>
  <si>
    <t>El mensaje de fecha inválida debe indicar que la fecha debe ser igual o posterior a la fecha permitida.</t>
  </si>
  <si>
    <t>El selector de fecha debe facilitar la selección de la fecha de entrega.</t>
  </si>
  <si>
    <t>Los controles de suma y resta deben ser fáciles de identificar y utilizar.</t>
  </si>
  <si>
    <t>El sistema debe evitar errores de cantidad mediante controles visuales claros.</t>
  </si>
  <si>
    <t>El total del pedido debe destacarse visualmente para facilitar su lectura.</t>
  </si>
  <si>
    <t>La comisión del vendedor debe mostrarse de forma clara y comprensible.</t>
  </si>
  <si>
    <t>Los cálculos de total y comisión deben ser precisos y confiables.</t>
  </si>
  <si>
    <t>Los cálculos deben actualizarse en tiempo real o en un tiempo razonable al modificar cantidades.</t>
  </si>
  <si>
    <t>El sistema debe evitar la creación de pedidos incompletos.</t>
  </si>
  <si>
    <t>El sistema debe evitar la creación de pedidos sin productos seleccionados.</t>
  </si>
  <si>
    <t>El sistema debe evitar la creación de pedidos con fechas inválidas.</t>
  </si>
  <si>
    <r>
      <t xml:space="preserve">La redirección hacia </t>
    </r>
    <r>
      <rPr>
        <b/>
        <sz val="11"/>
        <color theme="1"/>
        <rFont val="Calibri"/>
      </rPr>
      <t>Mis Pedidos</t>
    </r>
    <r>
      <rPr>
        <sz val="11"/>
        <color theme="1"/>
        <rFont val="Calibri"/>
      </rPr>
      <t xml:space="preserve"> después de crear el pedido debe ejecutarse sin errores.</t>
    </r>
  </si>
  <si>
    <t>El mensaje de pedido creado exitosamente debe ser visible y fácil de entender.</t>
  </si>
  <si>
    <r>
      <t xml:space="preserve">La vista </t>
    </r>
    <r>
      <rPr>
        <b/>
        <sz val="11"/>
        <color theme="1"/>
        <rFont val="Calibri"/>
      </rPr>
      <t>Mis Pedidos</t>
    </r>
    <r>
      <rPr>
        <sz val="11"/>
        <color theme="1"/>
        <rFont val="Calibri"/>
      </rPr>
      <t xml:space="preserve"> debe mantener una estructura clara y ordenada.</t>
    </r>
  </si>
  <si>
    <t>La tabla de pedidos debe tener encabezados legibles y bien organizados.</t>
  </si>
  <si>
    <t>Los estados de pedido deben diferenciarse visualmente mediante etiquetas.</t>
  </si>
  <si>
    <t>El estado de pago debe ser fácil de identificar.</t>
  </si>
  <si>
    <t>El filtro por estado debe ser visible y fácil de usar.</t>
  </si>
  <si>
    <t>El listado de pedidos debe actualizarse correctamente al aplicar filtros.</t>
  </si>
  <si>
    <t>El sistema debe mostrar información consistente entre el pedido creado y el historial de pedidos.</t>
  </si>
  <si>
    <t>El sistema debe garantizar que cada pedido quede asociado al vendedor autenticado.</t>
  </si>
  <si>
    <t>El sistema debe proteger el acceso mediante autenticación.</t>
  </si>
  <si>
    <t>El sistema debe validar el rol del usuario antes de permitir crear o consultar pedidos de vendedor.</t>
  </si>
  <si>
    <t>El sistema no debe mostrar información de pedidos de otros vendedores.</t>
  </si>
  <si>
    <t>El sistema debe proteger la información de contacto y entrega de los clientes.</t>
  </si>
  <si>
    <t>La carga de comprobantes debe manejarse de forma segura.</t>
  </si>
  <si>
    <t>El sistema debe aceptar únicamente archivos válidos como comprobante, según la configuración establecida.</t>
  </si>
  <si>
    <t>La información de pedidos debe conservar integridad entre productos, cantidades, totales, comisiones y estados.</t>
  </si>
  <si>
    <t>El tiempo de carga de la vista de creación debe ser adecuado.</t>
  </si>
  <si>
    <t>El tiempo de carga del historial de pedidos debe ser adecuado.</t>
  </si>
  <si>
    <t>La vista debe mantener estabilidad visual durante la validación, cálculo y creación del pedido.</t>
  </si>
  <si>
    <t>Las vistas de pedido deben visualizarse correctamente en computadores de escritorio.</t>
  </si>
  <si>
    <t>La interfaz debe mantener consistencia en colores, tipografía, espaciado, botones e íconos.</t>
  </si>
  <si>
    <r>
      <t xml:space="preserve">Los botones </t>
    </r>
    <r>
      <rPr>
        <b/>
        <sz val="11"/>
        <color theme="1"/>
        <rFont val="Calibri"/>
      </rPr>
      <t>Crear Pedido</t>
    </r>
    <r>
      <rPr>
        <sz val="11"/>
        <color theme="1"/>
        <rFont val="Calibri"/>
      </rPr>
      <t xml:space="preserve"> y </t>
    </r>
    <r>
      <rPr>
        <b/>
        <sz val="11"/>
        <color theme="1"/>
        <rFont val="Calibri"/>
      </rPr>
      <t>Cancelar</t>
    </r>
    <r>
      <rPr>
        <sz val="11"/>
        <color theme="1"/>
        <rFont val="Calibri"/>
      </rPr>
      <t xml:space="preserve"> deben diferenciarse visualmente.</t>
    </r>
  </si>
  <si>
    <t>La acción principal de creación debe tener mayor énfasis visual que la acción de cancelación.</t>
  </si>
  <si>
    <t>El sistema debe manejar correctamente escenarios donde no existan pedidos registrados.</t>
  </si>
  <si>
    <t>El sistema debe manejar correctamente escenarios donde los filtros no arrojen resultados.</t>
  </si>
  <si>
    <t>El código del módulo de pedidos del vendedor debe estar organizado para facilitar mantenimiento.</t>
  </si>
  <si>
    <t>El módulo debe permitir agregar nuevos estados de pedido en futuras versiones.</t>
  </si>
  <si>
    <t>El módulo debe permitir agregar nuevos campos de entrega si el negocio lo requiere.</t>
  </si>
  <si>
    <t>El módulo debe permitir ampliar la lógica de comisiones sin afectar la estructura principal.</t>
  </si>
  <si>
    <t>La solución debe priorizar facilidad de registro, validación de datos, seguridad por rol y precisión en cálculos</t>
  </si>
  <si>
    <t>El sistema debe mostrar únicamente los pedidos asociados al vendedor que inició sesión.</t>
  </si>
  <si>
    <t>El sistema debe impedir que un vendedor visualice pedidos registrados por otros vendedores.</t>
  </si>
  <si>
    <t>El sistema debe mostrar una tabla con el historial de pedidos del vendedor.</t>
  </si>
  <si>
    <t>El sistema debe mostrar la fecha y hora de creación del pedido.</t>
  </si>
  <si>
    <t>El sistema debe mostrar el estado actual del pedido.</t>
  </si>
  <si>
    <t>El sistema debe actualizar la tabla de pedidos según el filtro de estado seleccionado.</t>
  </si>
  <si>
    <t>El sistema debe resaltar visualmente el filtro activo.</t>
  </si>
  <si>
    <t>El sistema debe permitir subir un comprobante de pago desde la columna de acciones del pedido.</t>
  </si>
  <si>
    <t>El sistema debe mostrar un botón o ícono de carga de comprobante para pedidos pendientes de pago.</t>
  </si>
  <si>
    <t>El sistema debe mostrar el total del pedido dentro del modal de comprobante.</t>
  </si>
  <si>
    <t>El sistema debe permitir seleccionar una imagen como comprobante de pago.</t>
  </si>
  <si>
    <t>El sistema debe mostrar un campo de selección de archivo dentro del modal.</t>
  </si>
  <si>
    <t>El sistema debe validar que se haya seleccionado un archivo antes de confirmar el envío.</t>
  </si>
  <si>
    <t>El sistema debe permitir cerrar el modal de comprobante sin subir archivo.</t>
  </si>
  <si>
    <t>El sistema debe asociar el comprobante subido al pedido correspondiente.</t>
  </si>
  <si>
    <t>El sistema debe mostrar un mensaje de éxito cuando el comprobante se suba correctamente.</t>
  </si>
  <si>
    <t>El sistema debe permitir que el administrador valide posteriormente el comprobante del pedido.</t>
  </si>
  <si>
    <t>El sistema debe permitir finalizar un pedido cuando el pago haya sido aprobado.</t>
  </si>
  <si>
    <t>El sistema debe mostrar una acción de finalización cuando el pedido pueda ser marcado como completado.</t>
  </si>
  <si>
    <t>El sistema debe mostrar una ventana modal de confirmación antes de finalizar un pedido.</t>
  </si>
  <si>
    <t>El sistema debe mostrar un mensaje indicando que el pedido será marcado como completado.</t>
  </si>
  <si>
    <t>El sistema debe indicar que al finalizar el pedido se finalizará la comisión correspondiente.</t>
  </si>
  <si>
    <t>El sistema debe permitir cancelar la finalización del pedido.</t>
  </si>
  <si>
    <t>El sistema debe mostrar un mensaje de éxito cuando el pedido sea marcado como completado.</t>
  </si>
  <si>
    <t>El sistema debe conservar el estado de pago aprobado después de completar el pedido.</t>
  </si>
  <si>
    <t>El sistema debe mantener la comisión asociada al pedido completado.</t>
  </si>
  <si>
    <t>El sistema debe actualizar el historial de pedidos después de subir un comprobante o finalizar un pedido.</t>
  </si>
  <si>
    <t>El sistema debe mostrar el pedido recién creado cuando el vendedor sea redirigido desde la vista de creación de pedido.</t>
  </si>
  <si>
    <t>El sistema debe mostrar un mensaje de éxito cuando un pedido haya sido creado correctamente.</t>
  </si>
  <si>
    <t>El sistema debe mostrar el número del pedido creado en el mensaje de éxito.</t>
  </si>
  <si>
    <t>El sistema debe permitir el acceso al módulo únicamente a usuarios autenticados.</t>
  </si>
  <si>
    <t>El sistema debe validar que el usuario autenticado tenga rol de vendedor para acceder a la vista.</t>
  </si>
  <si>
    <t>El sistema debe redirigir al login cuando no exista una sesión activa.</t>
  </si>
  <si>
    <t>El sistema debe mantener sincronizada la información de pedidos con el dashboard del vendedor.</t>
  </si>
  <si>
    <t>El sistema debe actualizar las ventas totales del vendedor según los pedidos registrados.</t>
  </si>
  <si>
    <t>El sistema debe actualizar las comisiones ganadas según los pedidos creados y completados.</t>
  </si>
  <si>
    <t>El sistema debe mostrar correctamente los pedidos aunque existan múltiples registros con diferentes estados.</t>
  </si>
  <si>
    <t>El sistema debe permitir al vendedor acceder al módulo Mis Pedidos desde el menú lateral.</t>
  </si>
  <si>
    <t>El sistema debe resaltar visualmente la opción Mis Pedidos cuando el vendedor se encuentre dentro del módulo.</t>
  </si>
  <si>
    <t>El sistema debe mostrar la opción de filtro Todos.</t>
  </si>
  <si>
    <t>El sistema debe mostrar la opción de filtro Pendiente.</t>
  </si>
  <si>
    <t>El sistema debe mostrar la opción de filtro En Proceso.</t>
  </si>
  <si>
    <t>El sistema debe mostrar la opción de filtro Completado.</t>
  </si>
  <si>
    <t>El sistema debe mostrar los pedidos pendientes cuando el usuario seleccione el filtro Pendiente.</t>
  </si>
  <si>
    <t>El sistema debe mostrar los pedidos en proceso cuando el usuario seleccione el filtro En Proceso.</t>
  </si>
  <si>
    <t>El sistema debe mostrar los pedidos completados cuando el usuario seleccione el filtro Completado.</t>
  </si>
  <si>
    <t>El sistema debe mostrar todos los pedidos cuando el usuario seleccione el filtro Todos.</t>
  </si>
  <si>
    <t>El sistema debe mostrar una etiqueta visual para el estado Pendiente.</t>
  </si>
  <si>
    <t>El sistema debe mostrar una etiqueta visual para el estado En Proceso.</t>
  </si>
  <si>
    <t>El sistema debe mostrar una etiqueta visual para el estado Completado.</t>
  </si>
  <si>
    <t>El sistema debe mostrar una etiqueta visual para el estado de pago Sin Pago.</t>
  </si>
  <si>
    <t>El sistema debe mostrar una etiqueta visual para el estado de pago Por Validar.</t>
  </si>
  <si>
    <t>El sistema debe mostrar una etiqueta visual para el estado de pago Aprobado.</t>
  </si>
  <si>
    <t>El sistema debe abrir una ventana modal de Subir Comprobante al seleccionar la acción de carga.</t>
  </si>
  <si>
    <t>El sistema debe mostrar el mensaje Selecciona un archivo cuando el vendedor intente enviar el comprobante sin adjuntar imagen.</t>
  </si>
  <si>
    <t>El sistema debe permitir confirmar el envío del comprobante mediante el botón Confirmar Envío.</t>
  </si>
  <si>
    <t>El sistema debe mostrar el mensaje Comprobante de pago subido correctamente después de cargar el comprobante.</t>
  </si>
  <si>
    <t>El sistema debe cambiar el estado de pago del pedido a Por Validar después de subir el comprobante.</t>
  </si>
  <si>
    <t>El sistema debe actualizar el estado de pago a Aprobado cuando el comprobante sea validado.</t>
  </si>
  <si>
    <t>El sistema debe reflejar en la vista del vendedor el cambio del estado de pago a Aprobado.</t>
  </si>
  <si>
    <t>El sistema debe mostrar el título Finalizar Pedido en el modal de confirmación.</t>
  </si>
  <si>
    <t>El sistema debe mantener el pedido sin cambios si el vendedor selecciona Cancelar.</t>
  </si>
  <si>
    <t>El sistema debe finalizar el pedido únicamente cuando el vendedor seleccione Confirmar.</t>
  </si>
  <si>
    <t>El sistema debe cambiar el estado del pedido a Completado después de confirmar la finalización.</t>
  </si>
  <si>
    <t>El sistema debe mostrar el mensaje Pedido # marcado como completado después de finalizar el pedido.</t>
  </si>
  <si>
    <t>El sistema debe permitir consultar pedidos creados recientemente desde la vista Mis Pedidos.</t>
  </si>
  <si>
    <t>El sistema debe permitir cerrar sesión desde el módulo Mis Pedidos.</t>
  </si>
  <si>
    <t>El sistema debe mantener disponible el menú lateral dentro de la vista Mis Pedidos.</t>
  </si>
  <si>
    <t>La vista debe ser clara, ordenada y fácil de interpretar para el vendedor.</t>
  </si>
  <si>
    <t>La tabla de pedidos debe presentar la información de forma organizada y legible.</t>
  </si>
  <si>
    <t>Los valores de total y comisión deben ser fáciles de identificar.</t>
  </si>
  <si>
    <t>El valor de comisión debe destacarse visualmente para facilitar su lectura.</t>
  </si>
  <si>
    <t>Los estados de pedido deben diferenciarse mediante etiquetas visuales claras.</t>
  </si>
  <si>
    <t>Los estados de pago deben diferenciarse mediante etiquetas visuales claras.</t>
  </si>
  <si>
    <t>Los filtros por estado deben ser visibles y fáciles de usar.</t>
  </si>
  <si>
    <t>El filtro activo debe destacarse visualmente frente a los demás.</t>
  </si>
  <si>
    <t>La columna de acciones debe mostrar botones o íconos comprensibles para el vendedor.</t>
  </si>
  <si>
    <t>El botón para subir comprobante debe identificarse fácilmente como una acción relacionada con el pago.</t>
  </si>
  <si>
    <t>El modal de subida de comprobante debe mostrarse centrado y con buena legibilidad.</t>
  </si>
  <si>
    <t>El fondo debe oscurecerse mientras el modal esté abierto para enfocar la atención del usuario.</t>
  </si>
  <si>
    <t>El sistema debe bloquear temporalmente la interacción con el fondo mientras el modal esté activo.</t>
  </si>
  <si>
    <t>El modal de finalización de pedido debe advertir claramente el efecto de la acción.</t>
  </si>
  <si>
    <t>El sistema debe evitar que un pedido sea marcado como completado por accidente.</t>
  </si>
  <si>
    <t>La finalización de pedido debe ejecutarse de forma controlada y segura.</t>
  </si>
  <si>
    <t>El sistema debe mantener consistencia entre el estado del pedido y el estado del pago.</t>
  </si>
  <si>
    <t>El sistema no debe permitir completar un pedido si no cumple las condiciones definidas por la lógica del negocio.</t>
  </si>
  <si>
    <t>El sistema debe aceptar únicamente archivos válidos como comprobantes, según la configuración definida.</t>
  </si>
  <si>
    <t>El sistema no debe exponer comprobantes de pago a usuarios no autorizados.</t>
  </si>
  <si>
    <t>El sistema debe proteger la información de contacto de los clientes.</t>
  </si>
  <si>
    <t>El sistema debe proteger el acceso al historial de pedidos mediante autenticación.</t>
  </si>
  <si>
    <t>El sistema debe garantizar que cada vendedor solo consulte sus propios pedidos.</t>
  </si>
  <si>
    <t>El sistema debe impedir accesos no autorizados a pedidos de otros vendedores.</t>
  </si>
  <si>
    <t>El sistema debe mantener consistencia entre pedidos, pagos, comprobantes y comisiones.</t>
  </si>
  <si>
    <t>El sistema debe evitar duplicidad en la carga de comprobantes cuando ya exista uno asociado, según la lógica definida.</t>
  </si>
  <si>
    <t>El sistema debe responder en un tiempo adecuado al cargar el historial de pedidos.</t>
  </si>
  <si>
    <t>El filtrado por estado debe ejecutarse sin demoras innecesarias.</t>
  </si>
  <si>
    <t>La apertura del modal de comprobante debe ser rápida y estable.</t>
  </si>
  <si>
    <t>La carga del comprobante debe procesarse en un tiempo razonable.</t>
  </si>
  <si>
    <t>La finalización del pedido debe procesarse en un tiempo razonable.</t>
  </si>
  <si>
    <t>La vista debe mantener estabilidad visual durante filtros, carga de comprobantes y cambios de estado.</t>
  </si>
  <si>
    <t>El sistema debe manejar correctamente escenarios donde un filtro no arroje resultados.</t>
  </si>
  <si>
    <t>El sistema debe mostrar mensajes claros ante errores de carga de archivo o validación.</t>
  </si>
  <si>
    <t>La tabla debe conservar legibilidad en diferentes resoluciones de pantalla.</t>
  </si>
  <si>
    <t>Los botones de acción deben tener tamaño suficiente para facilitar la interacción.</t>
  </si>
  <si>
    <t>El diseño debe evitar saturación visual y presentar solo la información necesaria para el vendedor.</t>
  </si>
  <si>
    <t>El sistema debe permitir mantenimiento sencillo del módulo de pedidos del vendedor.</t>
  </si>
  <si>
    <t>El módulo debe permitir agregar nuevos estados de pedido en versiones futuras.</t>
  </si>
  <si>
    <t>El módulo debe permitir ampliar la gestión de comprobantes sin afectar la estructura general.</t>
  </si>
  <si>
    <t>La solución debe priorizar seguridad por rol, claridad de estados, trazabilidad de pagos y facilidad de gestión para el vendedor.</t>
  </si>
  <si>
    <t>La interfaz del módulo Mis Pedidos debe mantener coherencia visual con la identidad gráfica de Mai Shop.</t>
  </si>
  <si>
    <t>El mensaje Selecciona un archivo debe ser claro y comprensible.</t>
  </si>
  <si>
    <t>El mensaje Comprobante de pago subido correctamente debe mostrarse de forma visible.</t>
  </si>
  <si>
    <t>El cambio de estado a Por Validar debe ser fácil de reconocer después de subir el comprobante.</t>
  </si>
  <si>
    <t>El cambio de estado a Aprobado debe ser fácil de reconocer cuando el pago sea validado.</t>
  </si>
  <si>
    <t>El botón Confirmar del modal debe diferenciarse como acción decisiva.</t>
  </si>
  <si>
    <t>El botón Cancelar debe permitir abandonar el proceso sin afectar el pedido.</t>
  </si>
  <si>
    <t>La información mostrada en Mis Pedidos debe corresponder a los datos reales almacenados en el sistema.</t>
  </si>
  <si>
    <t>La vista Mis Pedidos debe visualizarse correctamente en computadores de escritorio.</t>
  </si>
  <si>
    <t>El sistema debe mostrar un texto descriptivo indicando que la vista corresponde al resumen de ganancias del vendedor.</t>
  </si>
  <si>
    <t>El sistema debe calcular y mostrar el total de comisiones ganadas por el vendedor.</t>
  </si>
  <si>
    <t>El sistema debe calcular y mostrar el valor total pendiente por cobrar del vendedor.</t>
  </si>
  <si>
    <t>El sistema debe mostrar una etiqueta visual indicando cuando existen comisiones por pagar.</t>
  </si>
  <si>
    <t>El sistema debe actualizar los valores de comisiones según los pedidos registrados por el vendedor.</t>
  </si>
  <si>
    <t>El sistema debe calcular las comisiones con base en el porcentaje asignado al vendedor.</t>
  </si>
  <si>
    <t>El sistema debe calcular la comisión sobre el total de pedidos completados.</t>
  </si>
  <si>
    <t>El sistema debe informar al vendedor cuál es su porcentaje actual de comisión.</t>
  </si>
  <si>
    <t>El sistema debe indicar que las comisiones se calculan sobre pedidos completados.</t>
  </si>
  <si>
    <t>El sistema debe indicar que los pagos son procesados por el administrador.</t>
  </si>
  <si>
    <t>El sistema debe mostrar el valor de las ventas totales realizadas por el vendedor.</t>
  </si>
  <si>
    <t>El sistema debe mostrar el valor de la comisión calculada sobre las ventas.</t>
  </si>
  <si>
    <t>El sistema debe mostrar el valor pagado al vendedor.</t>
  </si>
  <si>
    <t>El sistema debe mostrar el valor pendiente por cobrar.</t>
  </si>
  <si>
    <t>El sistema debe diferenciar los valores de ventas, comisión, pagado y pendiente.</t>
  </si>
  <si>
    <t>El sistema debe mostrar en cero los valores cuando el vendedor no tenga ventas, pagos o comisiones registradas.</t>
  </si>
  <si>
    <t>El sistema debe mostrar únicamente las comisiones pertenecientes al vendedor autenticado.</t>
  </si>
  <si>
    <t>El sistema debe impedir que un vendedor visualice comisiones de otros vendedores.</t>
  </si>
  <si>
    <t>El sistema debe sincronizar las comisiones con los pedidos creados por el vendedor.</t>
  </si>
  <si>
    <t>El sistema debe actualizar las comisiones cuando un pedido cambie a estado completado.</t>
  </si>
  <si>
    <t>El sistema debe actualizar el total pagado cuando el administrador registre un pago de comisión.</t>
  </si>
  <si>
    <t>El sistema debe actualizar el pendiente por cobrar después de que una comisión sea pagada.</t>
  </si>
  <si>
    <t>El sistema debe mantener relación entre ventas, pedidos, comisiones y pagos.</t>
  </si>
  <si>
    <t>El sistema debe permitir al vendedor consultar su estado financiero de comisiones desde una sola vista.</t>
  </si>
  <si>
    <t>El sistema debe mantener disponible el menú lateral dentro del módulo de comisiones.</t>
  </si>
  <si>
    <t>El sistema debe permitir acceder al módulo únicamente a usuarios autenticados.</t>
  </si>
  <si>
    <t>El sistema debe validar que el usuario autenticado tenga rol de vendedor.</t>
  </si>
  <si>
    <t>El sistema debe impedir el acceso al módulo si no existe una sesión activa.</t>
  </si>
  <si>
    <t>El sistema debe mostrar información actualizada después de que el administrador procese pagos.</t>
  </si>
  <si>
    <t>El sistema debe permitir al vendedor conocer cuánto ha vendido, cuánto ha ganado, cuánto le han pagado y cuánto tiene pendiente por cobrar.</t>
  </si>
  <si>
    <t>El sistema debe permitir al vendedor acceder al módulo Comisiones desde el menú lateral.</t>
  </si>
  <si>
    <t>El sistema debe resaltar visualmente la opción Comisiones cuando el vendedor se encuentre dentro del módulo.</t>
  </si>
  <si>
    <t>El sistema debe mostrar la vista Mis Comisiones.</t>
  </si>
  <si>
    <t>El sistema debe mostrar una tarjeta resumen de Total Ganado.</t>
  </si>
  <si>
    <t>El sistema debe mostrar una sección de Información de Comisiones.</t>
  </si>
  <si>
    <t>El sistema debe mostrar una sección de Resumen de Ventas.</t>
  </si>
  <si>
    <t>Los valores de total ganado, total pagado y pendiente por cobrar deben ser legibles a simple vista.</t>
  </si>
  <si>
    <t>El valor pendiente por cobrar debe destacarse visualmente para que el vendedor lo identifique fácilmente.</t>
  </si>
  <si>
    <t>El porcentaje de comisión debe mostrarse de forma clara y comprensible.</t>
  </si>
  <si>
    <t>La sección de información de comisiones debe explicar de manera sencilla cómo se calculan las ganancias.</t>
  </si>
  <si>
    <t>La sección de resumen de ventas debe presentar los valores de forma ordenada.</t>
  </si>
  <si>
    <t>Los montos deben mostrarse con formato de moneda claro y consistente.</t>
  </si>
  <si>
    <t>Los colores utilizados para comisiones, pagos y pendientes deben ayudar a diferenciar cada estado.</t>
  </si>
  <si>
    <t>La interfaz debe evitar saturación visual y mostrar solo información relevante para el vendedor.</t>
  </si>
  <si>
    <t>El módulo debe facilitar la comprensión del estado financiero del vendedor.</t>
  </si>
  <si>
    <t>El sistema debe validar el rol del usuario antes de mostrar la información de comisiones.</t>
  </si>
  <si>
    <t>El sistema no debe mostrar información de comisiones de otros vendedores.</t>
  </si>
  <si>
    <t>El sistema debe garantizar la confidencialidad de los datos financieros del vendedor.</t>
  </si>
  <si>
    <t>Los cálculos de comisiones deben ser precisos y confiables.</t>
  </si>
  <si>
    <t>El sistema debe mantener consistencia entre los pedidos completados y las comisiones generadas.</t>
  </si>
  <si>
    <t>El sistema debe mantener consistencia entre los pagos procesados por el administrador y el total pagado mostrado al vendedor.</t>
  </si>
  <si>
    <t>El sistema debe evitar inconsistencias entre total ganado, total pagado y pendiente por cobrar.</t>
  </si>
  <si>
    <t>El sistema debe manejar correctamente escenarios donde el vendedor no tenga pedidos completados.</t>
  </si>
  <si>
    <t>El sistema debe manejar correctamente escenarios donde el vendedor no tenga comisiones pagadas.</t>
  </si>
  <si>
    <t>El sistema debe manejar correctamente escenarios donde no existan comisiones pendientes.</t>
  </si>
  <si>
    <t>El módulo debe cargar la información en un tiempo adecuado.</t>
  </si>
  <si>
    <t>Las consultas de ventas, pagos y comisiones deben ejecutarse de forma eficiente.</t>
  </si>
  <si>
    <t>La vista debe mantener estabilidad visual durante la carga de datos.</t>
  </si>
  <si>
    <t>La interfaz debe mantener consistencia en colores, tipografía, espaciado, tarjetas e íconos.</t>
  </si>
  <si>
    <t>Los íconos deben representar correctamente ganancias, pagos y pendientes.</t>
  </si>
  <si>
    <t>El contraste entre textos, fondos y montos debe facilitar la lectura.</t>
  </si>
  <si>
    <t>El sistema debe permitir mantenimiento sencillo del módulo de comisiones.</t>
  </si>
  <si>
    <t>El módulo debe permitir modificar el porcentaje de comisión sin afectar la estructura general.</t>
  </si>
  <si>
    <t>El módulo debe permitir agregar nuevos detalles de pago o historial en futuras versiones.</t>
  </si>
  <si>
    <t>La solución debe priorizar claridad, seguridad por rol, precisión en cálculos y transparencia para el vendedor.</t>
  </si>
  <si>
    <t>La interfaz del módulo Mis Comisiones debe mantener coherencia visual con la identidad gráfica de Mai Shop.</t>
  </si>
  <si>
    <t>MÓDULO VENDEDOR MIS PEDIDOS</t>
  </si>
  <si>
    <t>MÓDULO VENDEDOR NUEVO PEDIDO</t>
  </si>
  <si>
    <t>MÓDULO VENDEDOR COMISIONES</t>
  </si>
  <si>
    <t>La base de datos debe permitir almacenar los roles del sistema, como administrador y vendedor.</t>
  </si>
  <si>
    <t>La base de datos debe permitir diferenciar los usuarios según su rol dentro del sistema.</t>
  </si>
  <si>
    <t>La base de datos debe permitir almacenar permisos del sistema para controlar acciones específicas.</t>
  </si>
  <si>
    <t>La base de datos debe permitir relacionar roles con permisos mediante una tabla intermedia.</t>
  </si>
  <si>
    <t>La base de datos debe permitir almacenar usuarios con nombre, apellido, correo electrónico, contraseña y rol.</t>
  </si>
  <si>
    <t>La base de datos debe impedir que existan dos usuarios con el mismo correo electrónico.</t>
  </si>
  <si>
    <t>La base de datos debe almacenar la contraseña del usuario en un campo destinado para credenciales de acceso.</t>
  </si>
  <si>
    <t>La base de datos debe registrar la fecha de creación de cada usuario.</t>
  </si>
  <si>
    <t>La base de datos debe registrar la fecha de actualización de cada usuario.</t>
  </si>
  <si>
    <t>La base de datos debe permitir actualizar automáticamente la fecha de modificación de un usuario cuando sus datos cambien.</t>
  </si>
  <si>
    <t>La base de datos debe permitir almacenar sesiones de usuario.</t>
  </si>
  <si>
    <t>La base de datos debe permitir guardar el token o identificador de sesión del usuario.</t>
  </si>
  <si>
    <t>La base de datos debe permitir registrar la fecha de inicio de una sesión.</t>
  </si>
  <si>
    <t>La base de datos debe permitir registrar la fecha de finalización de una sesión.</t>
  </si>
  <si>
    <t>La base de datos debe permitir identificar si una sesión se encuentra activa o inactiva.</t>
  </si>
  <si>
    <t>La base de datos debe permitir almacenar universidades asociadas a los vendedores.</t>
  </si>
  <si>
    <t>La base de datos debe impedir que se registren universidades duplicadas con el mismo nombre.</t>
  </si>
  <si>
    <t>La base de datos debe permitir almacenar vendedores como miembros del equipo de ventas.</t>
  </si>
  <si>
    <t>La base de datos debe relacionar cada vendedor con un usuario del sistema.</t>
  </si>
  <si>
    <t>La base de datos debe impedir que un mismo usuario tenga más de un perfil de vendedor.</t>
  </si>
  <si>
    <t>La base de datos debe almacenar el porcentaje de comisión asignado a cada vendedor.</t>
  </si>
  <si>
    <t>La base de datos debe asignar un porcentaje de comisión por defecto al vendedor.</t>
  </si>
  <si>
    <t>La base de datos debe permitir almacenar la universidad del vendedor.</t>
  </si>
  <si>
    <t>La base de datos debe permitir relacionar el vendedor con una universidad registrada.</t>
  </si>
  <si>
    <t>La base de datos debe almacenar el teléfono de contacto del vendedor.</t>
  </si>
  <si>
    <t>La base de datos debe almacenar el tipo de documento del vendedor.</t>
  </si>
  <si>
    <t>La base de datos debe almacenar el número de documento del vendedor.</t>
  </si>
  <si>
    <t>La base de datos debe impedir que existan dos vendedores con el mismo número de documento.</t>
  </si>
  <si>
    <t>La base de datos debe almacenar el estado del vendedor.</t>
  </si>
  <si>
    <t>La base de datos debe relacionar el vendedor con un estado de miembro.</t>
  </si>
  <si>
    <t>La base de datos debe registrar la fecha de contratación del vendedor.</t>
  </si>
  <si>
    <t>La base de datos debe permitir registrar la fecha de eliminación lógica del vendedor.</t>
  </si>
  <si>
    <t>La base de datos debe permitir manejar estados de vendedores como activo, inactivo o suspendido.</t>
  </si>
  <si>
    <t>La base de datos debe permitir almacenar productos disponibles para la venta.</t>
  </si>
  <si>
    <t>La base de datos debe almacenar el nombre del producto.</t>
  </si>
  <si>
    <t>La base de datos debe impedir que existan dos productos con el mismo nombre.</t>
  </si>
  <si>
    <t>La base de datos debe almacenar la descripción del producto.</t>
  </si>
  <si>
    <t>La base de datos debe almacenar el precio del producto.</t>
  </si>
  <si>
    <t>La base de datos debe almacenar la ruta de la imagen principal del producto.</t>
  </si>
  <si>
    <t>La base de datos debe almacenar el estado del producto.</t>
  </si>
  <si>
    <t>La base de datos debe registrar la fecha de creación del producto.</t>
  </si>
  <si>
    <t>La base de datos debe registrar la fecha de actualización del producto.</t>
  </si>
  <si>
    <t>La base de datos debe actualizar automáticamente la fecha de modificación de un producto cuando sus datos cambien.</t>
  </si>
  <si>
    <t>La base de datos debe permitir manejar productos activos e inactivos mediante un estado lógico.</t>
  </si>
  <si>
    <t>La base de datos debe permitir almacenar los estados posibles de un pedido.</t>
  </si>
  <si>
    <t>La base de datos debe manejar estados de pedido como pendiente, en proceso, completado y cancelado.</t>
  </si>
  <si>
    <t>La base de datos debe permitir almacenar los estados posibles de pago.</t>
  </si>
  <si>
    <t>La base de datos debe manejar estados de pago como sin comprobante, subido, aprobado y rechazado.</t>
  </si>
  <si>
    <t>La base de datos debe permitir almacenar reglas de transición entre estados de pedido.</t>
  </si>
  <si>
    <t>La base de datos debe permitir controlar que un pedido pase de pendiente a en proceso.</t>
  </si>
  <si>
    <t>La base de datos debe permitir controlar que un pedido pase de pendiente a cancelado.</t>
  </si>
  <si>
    <t>La base de datos debe permitir controlar que un pedido pase de en proceso a completado.</t>
  </si>
  <si>
    <t>La base de datos debe permitir controlar que un pedido pase de en proceso a cancelado.</t>
  </si>
  <si>
    <t>La base de datos debe permitir almacenar pedidos realizados por vendedores.</t>
  </si>
  <si>
    <t>La base de datos debe relacionar cada pedido con un vendedor.</t>
  </si>
  <si>
    <t>La base de datos debe permitir conservar el pedido aunque el vendedor relacionado sea eliminado, dejando la relación en nulo si aplica.</t>
  </si>
  <si>
    <t>La base de datos debe almacenar el teléfono o contacto del cliente asociado al pedido.</t>
  </si>
  <si>
    <t>La base de datos debe almacenar la dirección de entrega del pedido.</t>
  </si>
  <si>
    <t>La base de datos debe almacenar la fecha programada de entrega.</t>
  </si>
  <si>
    <t>La base de datos debe permitir almacenar notas o requerimientos especiales del pedido.</t>
  </si>
  <si>
    <t>La base de datos debe asignar un estado inicial al pedido.</t>
  </si>
  <si>
    <t>La base de datos debe asignar un estado inicial de pago al pedido.</t>
  </si>
  <si>
    <t>La base de datos debe almacenar el monto de comisión calculado para el pedido.</t>
  </si>
  <si>
    <t>La base de datos debe permitir relacionar un pedido con un pago de comisión.</t>
  </si>
  <si>
    <t>La base de datos debe permitir almacenar una nota de cancelación del pedido.</t>
  </si>
  <si>
    <t>La base de datos debe permitir manejar un estado lógico del pedido.</t>
  </si>
  <si>
    <t>La base de datos debe registrar la fecha de creación del pedido.</t>
  </si>
  <si>
    <t>La base de datos debe permitir almacenar el detalle de productos incluidos en cada pedido.</t>
  </si>
  <si>
    <t>La base de datos debe relacionar cada detalle de pedido con un pedido existente.</t>
  </si>
  <si>
    <t>La base de datos debe relacionar cada detalle de pedido con un producto existente.</t>
  </si>
  <si>
    <t>La base de datos debe almacenar la cantidad solicitada de cada producto.</t>
  </si>
  <si>
    <t>La base de datos debe validar que la cantidad de productos en el detalle sea mayor o igual a uno.</t>
  </si>
  <si>
    <t>La base de datos debe almacenar el precio unitario del producto al momento de crear el pedido.</t>
  </si>
  <si>
    <t>La base de datos debe conservar el precio histórico del producto dentro del detalle del pedido.</t>
  </si>
  <si>
    <t>La base de datos debe permitir manejar el estado lógico de cada línea de detalle.</t>
  </si>
  <si>
    <t>La base de datos debe permitir almacenar comprobantes de pago asociados a pedidos.</t>
  </si>
  <si>
    <t>La base de datos debe relacionar cada comprobante con un pedido existente.</t>
  </si>
  <si>
    <t>La base de datos debe almacenar la ruta del archivo del comprobante de pago.</t>
  </si>
  <si>
    <t>La base de datos debe registrar la fecha de subida del comprobante.</t>
  </si>
  <si>
    <t>La base de datos debe almacenar el estado del comprobante.</t>
  </si>
  <si>
    <t>La base de datos debe permitir almacenar notas del revisor sobre el comprobante.</t>
  </si>
  <si>
    <t>La base de datos debe permitir manejar el estado lógico del comprobante.</t>
  </si>
  <si>
    <t>La base de datos debe permitir almacenar pagos de comisiones realizados a vendedores.</t>
  </si>
  <si>
    <t>La base de datos debe relacionar cada pago de comisión con un vendedor.</t>
  </si>
  <si>
    <t>La base de datos debe almacenar el monto pagado al vendedor.</t>
  </si>
  <si>
    <t>La base de datos debe almacenar la ruta del archivo o comprobante del pago de comisión.</t>
  </si>
  <si>
    <t>La base de datos debe registrar la fecha de pago de la comisión.</t>
  </si>
  <si>
    <t>La base de datos debe almacenar el estado del pago de comisión.</t>
  </si>
  <si>
    <t>La base de datos debe permitir consultar comisiones pendientes y pagadas mediante la relación entre pedidos, vendedores y pagos.</t>
  </si>
  <si>
    <t>La base de datos debe permitir calcular la comisión de un pedido cuando este cambie a estado completado.</t>
  </si>
  <si>
    <t>La base de datos debe calcular la comisión con base en el total del pedido y el porcentaje asignado al vendedor.</t>
  </si>
  <si>
    <t>La base de datos debe evitar recalcular una comisión si ya existe un monto de comisión registrado.</t>
  </si>
  <si>
    <t>La base de datos debe registrar automáticamente los cambios de estado de un pedido.</t>
  </si>
  <si>
    <t>La base de datos debe almacenar el estado anterior de un pedido cuando este cambie.</t>
  </si>
  <si>
    <t>La base de datos debe almacenar el nuevo estado de un pedido cuando este cambie.</t>
  </si>
  <si>
    <t>La base de datos debe registrar la fecha del cambio de estado del pedido.</t>
  </si>
  <si>
    <t>La base de datos debe permitir identificar el usuario que realizó un cambio de estado, si aplica.</t>
  </si>
  <si>
    <t>La base de datos debe permitir almacenar el motivo del cambio de estado.</t>
  </si>
  <si>
    <t>La base de datos debe permitir almacenar razones de cancelación de pedidos.</t>
  </si>
  <si>
    <t>La base de datos debe permitir almacenar registros de auditoría sobre cambios sensibles.</t>
  </si>
  <si>
    <t>La base de datos debe registrar el usuario que ejecutó una acción auditada.</t>
  </si>
  <si>
    <t>La base de datos debe registrar la tabla afectada por una acción.</t>
  </si>
  <si>
    <t>La base de datos debe registrar el tipo de acción realizada, como inserción, actualización o eliminación.</t>
  </si>
  <si>
    <t>La base de datos debe permitir almacenar el valor anterior de un registro auditado.</t>
  </si>
  <si>
    <t>La base de datos debe permitir almacenar el valor nuevo de un registro auditado.</t>
  </si>
  <si>
    <t>La base de datos debe registrar la fecha de cada evento de auditoría.</t>
  </si>
  <si>
    <t>La base de datos debe permitir almacenar logs del sistema.</t>
  </si>
  <si>
    <t>La base de datos debe registrar el nivel del log, como información, advertencia, error o crítico.</t>
  </si>
  <si>
    <t>La base de datos debe almacenar el mensaje técnico del log.</t>
  </si>
  <si>
    <t>La base de datos debe registrar la fecha del log.</t>
  </si>
  <si>
    <t>La base de datos debe permitir almacenar configuraciones generales de la aplicación.</t>
  </si>
  <si>
    <t>La base de datos debe almacenar una clave única para cada configuración general.</t>
  </si>
  <si>
    <t>La base de datos debe almacenar el valor asociado a cada configuración general.</t>
  </si>
  <si>
    <t>La base de datos debe permitir almacenar métodos de pago disponibles.</t>
  </si>
  <si>
    <t>La base de datos debe impedir que existan métodos de pago duplicados.</t>
  </si>
  <si>
    <t>La base de datos debe permitir consultar usuarios de forma eficiente mediante el correo electrónico.</t>
  </si>
  <si>
    <t>La base de datos debe permitir consultar pedidos de forma eficiente mediante el vendedor.</t>
  </si>
  <si>
    <t>La base de datos debe permitir consultar detalles de pedido de forma eficiente mediante el pedido asociado.</t>
  </si>
  <si>
    <t>La base de datos debe mantener una estructura relacional clara y organizada.</t>
  </si>
  <si>
    <t>La base de datos debe estar normalizada para evitar duplicidad innecesaria de información.</t>
  </si>
  <si>
    <t>La base de datos debe separar correctamente datos maestros, datos operativos y datos transaccionales.</t>
  </si>
  <si>
    <t>La base de datos debe usar llaves primarias para identificar de forma única cada registro principal.</t>
  </si>
  <si>
    <t>La base de datos debe usar llaves foráneas para mantener la relación entre tablas.</t>
  </si>
  <si>
    <t>La base de datos debe garantizar integridad referencial entre usuarios, vendedores, pedidos, productos, comprobantes y comisiones.</t>
  </si>
  <si>
    <t>La base de datos debe impedir registros huérfanos cuando existan relaciones obligatorias.</t>
  </si>
  <si>
    <t>La base de datos debe restringir la eliminación de usuarios que estén relacionados con vendedores cuando corresponda.</t>
  </si>
  <si>
    <t>La base de datos debe restringir la eliminación de pedidos que tengan detalles o comprobantes asociados.</t>
  </si>
  <si>
    <t>La base de datos debe restringir la eliminación de productos que estén asociados a detalles de pedido.</t>
  </si>
  <si>
    <t>La base de datos debe permitir conservar datos históricos importantes aunque ciertas relaciones cambien.</t>
  </si>
  <si>
    <t>La base de datos debe permitir dejar en nulo la relación de un pedido con un vendedor si el vendedor deja de existir, según la regla configurada.</t>
  </si>
  <si>
    <t>La base de datos debe permitir dejar en nulo la relación de un pedido con un pago de comisión si el pago es eliminado, según la regla configurada.</t>
  </si>
  <si>
    <t>La base de datos debe aplicar restricciones de unicidad para evitar correos electrónicos duplicados.</t>
  </si>
  <si>
    <t>La base de datos debe aplicar restricciones de unicidad para evitar productos duplicados.</t>
  </si>
  <si>
    <t>La base de datos debe aplicar restricciones de unicidad para evitar documentos de vendedores duplicados.</t>
  </si>
  <si>
    <t>La base de datos debe aplicar restricciones de unicidad para evitar universidades duplicadas.</t>
  </si>
  <si>
    <t>La base de datos debe validar rangos permitidos en identificadores de roles, estados y métodos de pago.</t>
  </si>
  <si>
    <t>La base de datos debe validar que las cantidades de productos en pedidos sean mayores o iguales a uno.</t>
  </si>
  <si>
    <t>La base de datos debe manejar valores por defecto para estados, fechas y porcentajes cuando sea necesario.</t>
  </si>
  <si>
    <t>La base de datos debe registrar automáticamente fechas de creación para entidades importantes.</t>
  </si>
  <si>
    <t>La base de datos debe registrar automáticamente fechas de actualización en usuarios y productos.</t>
  </si>
  <si>
    <t>La base de datos debe permitir trazabilidad de cambios en los estados de pedidos.</t>
  </si>
  <si>
    <t>La base de datos debe facilitar auditoría de acciones sensibles del sistema.</t>
  </si>
  <si>
    <t>La base de datos debe permitir registrar eventos técnicos para análisis de errores.</t>
  </si>
  <si>
    <t>La base de datos debe proteger la consistencia de los cálculos de comisiones.</t>
  </si>
  <si>
    <t>La base de datos debe evitar pagos duplicados o inconsistentes mediante relaciones controladas entre pedidos y pagos de comisión.</t>
  </si>
  <si>
    <t>La base de datos debe conservar el precio unitario histórico de los productos dentro del detalle del pedido.</t>
  </si>
  <si>
    <t>La base de datos debe evitar que cambios posteriores en el precio del producto alteren pedidos ya registrados.</t>
  </si>
  <si>
    <t>La base de datos debe permitir consultar información de forma eficiente mediante índices.</t>
  </si>
  <si>
    <t>La base de datos debe incluir índices en campos de consulta frecuente como correo de usuario.</t>
  </si>
  <si>
    <t>La base de datos debe incluir índices en relaciones frecuentes como pedidos por vendedor.</t>
  </si>
  <si>
    <t>La base de datos debe incluir índices en detalles asociados a pedidos.</t>
  </si>
  <si>
    <t>La base de datos debe permitir escalabilidad para agregar nuevos roles o permisos en el futuro.</t>
  </si>
  <si>
    <t>La base de datos debe permitir escalabilidad para agregar nuevos estados de pedido.</t>
  </si>
  <si>
    <t>La base de datos debe permitir escalabilidad para agregar nuevos métodos de pago.</t>
  </si>
  <si>
    <t>La base de datos debe permitir escalabilidad para agregar nuevas configuraciones generales del sistema.</t>
  </si>
  <si>
    <t>La base de datos debe permitir mantenimiento sencillo de catálogos maestros.</t>
  </si>
  <si>
    <t>La base de datos debe separar la lógica de estados en tablas maestras para facilitar cambios futuros.</t>
  </si>
  <si>
    <t>La base de datos debe permitir controlar flujos de estado mediante una tabla de transiciones.</t>
  </si>
  <si>
    <t>La base de datos debe contribuir a la seguridad del sistema mediante control de usuarios, roles, permisos y sesiones.</t>
  </si>
  <si>
    <t>La base de datos no debe almacenar contraseñas en texto plano.</t>
  </si>
  <si>
    <t>La base de datos debe almacenar contraseñas protegidas mediante mecanismos de hash aplicados desde la lógica del sistema.</t>
  </si>
  <si>
    <t>La base de datos debe permitir manejar sesiones activas e inactivas para apoyar la autenticación.</t>
  </si>
  <si>
    <t>La base de datos debe permitir invalidar sesiones cuando el usuario cierre sesión o expire su acceso.</t>
  </si>
  <si>
    <t>La base de datos debe proteger información sensible mediante relaciones y restricciones adecuadas.</t>
  </si>
  <si>
    <t>La base de datos debe soportar consultas para los paneles de administrador y vendedor.</t>
  </si>
  <si>
    <t>La base de datos debe soportar consultas para reportes y estadísticas del negocio.</t>
  </si>
  <si>
    <t>La base de datos debe soportar consultas para listar productos activos.</t>
  </si>
  <si>
    <t>La base de datos debe soportar consultas para listar vendedores activos.</t>
  </si>
  <si>
    <t>La base de datos debe soportar consultas para listar pedidos por estado.</t>
  </si>
  <si>
    <t>La base de datos debe soportar consultas para listar comisiones pendientes y pagadas.</t>
  </si>
  <si>
    <t>La base de datos debe estar preparada para integrarse con vistas SQL de reportes.</t>
  </si>
  <si>
    <t>La base de datos debe permitir reconstruirse en orden seguro eliminando primero vistas y luego tablas dependientes.</t>
  </si>
  <si>
    <t>La base de datos debe evitar inconsistencias al eliminar o actualizar registros relacionados.</t>
  </si>
  <si>
    <t>La base de datos debe mantener estabilidad en operaciones de inserción, actualización, consulta y eliminación.</t>
  </si>
  <si>
    <t>La base de datos debe manejar correctamente datos monetarios mediante tipos decimales.</t>
  </si>
  <si>
    <t>La base de datos debe manejar correctamente fechas y horas mediante tipos de fecha y timestamp.</t>
  </si>
  <si>
    <t>La base de datos debe permitir almacenar rutas de archivos sin guardar directamente archivos pesados dentro de las tablas.</t>
  </si>
  <si>
    <t>La base de datos debe facilitar la separación entre información del negocio, credenciales, ventas, pagos y auditoría.</t>
  </si>
  <si>
    <t>La base de datos debe mantener una estructura comprensible para facilitar mantenimiento y exposición técnica.</t>
  </si>
  <si>
    <t>La base de datos debe priorizar integridad, seguridad, trazabilidad, rendimiento y escalabilidad.</t>
  </si>
  <si>
    <t>Dashboard PEDIDOS</t>
  </si>
  <si>
    <t>Dashboard PRODUCTOS</t>
  </si>
  <si>
    <t>Dashboard VENDEDORES</t>
  </si>
  <si>
    <t>Dashboard COMISIONES</t>
  </si>
  <si>
    <t>Dashboard REPORTES</t>
  </si>
  <si>
    <t>Dashboard CONFIG</t>
  </si>
  <si>
    <t>Vendedor INICIO</t>
  </si>
  <si>
    <t>Vendedor PRODUCTOS</t>
  </si>
  <si>
    <t>Vendedor NUEVO PEDIDO</t>
  </si>
  <si>
    <t>Vendedor MIS PEDIDOS</t>
  </si>
  <si>
    <t>Vendedor 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</si>
</sst>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1"/>
      <name val="Calibri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1F2937"/>
      <name val="Calibri"/>
      <family val="2"/>
    </font>
    <font>
      <b/>
      <sz val="11"/>
      <color theme="3"/>
      <name val="Calibri"/>
      <family val="2"/>
    </font>
    <font>
      <b/>
      <sz val="11"/>
      <color rgb="FFFFFF00"/>
      <name val="Calibri"/>
      <family val="2"/>
    </font>
    <font>
      <u/>
      <sz val="11"/>
      <color theme="10"/>
      <name val="Calibri"/>
      <family val="2"/>
    </font>
    <font>
      <b/>
      <sz val="12"/>
      <color rgb="FF002060"/>
      <name val="Calibri"/>
      <family val="2"/>
    </font>
    <font>
      <b/>
      <sz val="11"/>
      <name val="Calibri"/>
      <family val="2"/>
    </font>
    <font>
      <b/>
      <i/>
      <sz val="11"/>
      <color rgb="FF5B3722"/>
      <name val="Calibri"/>
      <family val="2"/>
    </font>
    <font>
      <b/>
      <i/>
      <sz val="11"/>
      <color rgb="FF6B7280"/>
      <name val="Calibri"/>
      <family val="2"/>
    </font>
    <font>
      <b/>
      <sz val="16"/>
      <name val="Calibri"/>
      <family val="2"/>
    </font>
    <font>
      <b/>
      <sz val="11"/>
      <color theme="1"/>
      <name val="Calibri"/>
    </font>
    <font>
      <b/>
      <sz val="11"/>
      <color rgb="FF00206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0"/>
      </patternFill>
    </fill>
    <fill>
      <patternFill patternType="solid">
        <fgColor rgb="FF2B1B14"/>
      </patternFill>
    </fill>
    <fill>
      <patternFill patternType="solid">
        <fgColor rgb="FFFFF7F2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91">
    <xf numFmtId="0" fontId="0" fillId="0" borderId="0" xfId="0"/>
    <xf numFmtId="0" fontId="7" fillId="0" borderId="0" xfId="0" applyFont="1"/>
    <xf numFmtId="0" fontId="7" fillId="2" borderId="7" xfId="0" applyFont="1" applyFill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11" fillId="0" borderId="0" xfId="0" applyFont="1"/>
    <xf numFmtId="0" fontId="12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0" borderId="7" xfId="0" applyFont="1" applyBorder="1" applyAlignment="1">
      <alignment vertical="top" wrapText="1"/>
    </xf>
    <xf numFmtId="0" fontId="13" fillId="2" borderId="7" xfId="0" applyFont="1" applyFill="1" applyBorder="1" applyAlignment="1">
      <alignment horizontal="center"/>
    </xf>
    <xf numFmtId="0" fontId="5" fillId="0" borderId="8" xfId="0" applyFont="1" applyBorder="1"/>
    <xf numFmtId="0" fontId="7" fillId="0" borderId="9" xfId="0" applyFont="1" applyBorder="1"/>
    <xf numFmtId="0" fontId="6" fillId="0" borderId="15" xfId="0" applyFont="1" applyBorder="1"/>
    <xf numFmtId="0" fontId="7" fillId="0" borderId="15" xfId="0" applyFont="1" applyBorder="1"/>
    <xf numFmtId="0" fontId="7" fillId="0" borderId="11" xfId="0" applyFont="1" applyBorder="1"/>
    <xf numFmtId="0" fontId="11" fillId="0" borderId="8" xfId="0" applyFont="1" applyBorder="1"/>
    <xf numFmtId="0" fontId="11" fillId="0" borderId="10" xfId="0" applyFont="1" applyBorder="1"/>
    <xf numFmtId="0" fontId="11" fillId="0" borderId="15" xfId="0" applyFont="1" applyBorder="1"/>
    <xf numFmtId="0" fontId="11" fillId="0" borderId="19" xfId="0" applyFont="1" applyBorder="1"/>
    <xf numFmtId="0" fontId="0" fillId="0" borderId="19" xfId="0" applyBorder="1"/>
    <xf numFmtId="0" fontId="7" fillId="2" borderId="19" xfId="0" applyFont="1" applyFill="1" applyBorder="1" applyAlignment="1">
      <alignment horizontal="center"/>
    </xf>
    <xf numFmtId="0" fontId="7" fillId="0" borderId="19" xfId="0" applyFont="1" applyBorder="1" applyAlignment="1">
      <alignment vertical="top" wrapText="1"/>
    </xf>
    <xf numFmtId="0" fontId="7" fillId="0" borderId="18" xfId="0" applyFont="1" applyBorder="1"/>
    <xf numFmtId="0" fontId="7" fillId="0" borderId="3" xfId="0" applyFont="1" applyBorder="1" applyAlignment="1">
      <alignment vertical="top" wrapText="1"/>
    </xf>
    <xf numFmtId="0" fontId="14" fillId="0" borderId="7" xfId="0" applyFont="1" applyBorder="1" applyAlignment="1">
      <alignment horizontal="center"/>
    </xf>
    <xf numFmtId="0" fontId="7" fillId="0" borderId="19" xfId="0" applyFont="1" applyBorder="1"/>
    <xf numFmtId="0" fontId="9" fillId="2" borderId="18" xfId="0" applyFont="1" applyFill="1" applyBorder="1" applyAlignment="1">
      <alignment horizontal="center"/>
    </xf>
    <xf numFmtId="0" fontId="9" fillId="2" borderId="18" xfId="0" applyFont="1" applyFill="1" applyBorder="1"/>
    <xf numFmtId="0" fontId="2" fillId="0" borderId="19" xfId="0" applyFont="1" applyBorder="1" applyAlignment="1">
      <alignment horizontal="center"/>
    </xf>
    <xf numFmtId="0" fontId="7" fillId="0" borderId="7" xfId="0" applyFont="1" applyBorder="1" applyAlignment="1">
      <alignment horizontal="left" vertical="top" wrapText="1"/>
    </xf>
    <xf numFmtId="0" fontId="7" fillId="3" borderId="19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20" xfId="0" applyFill="1" applyBorder="1" applyAlignment="1">
      <alignment horizontal="center"/>
    </xf>
    <xf numFmtId="0" fontId="1" fillId="0" borderId="0" xfId="0" applyFont="1"/>
    <xf numFmtId="0" fontId="12" fillId="5" borderId="0" xfId="0" applyFont="1" applyFill="1"/>
    <xf numFmtId="0" fontId="0" fillId="0" borderId="0" xfId="0" applyAlignment="1">
      <alignment wrapText="1"/>
    </xf>
    <xf numFmtId="0" fontId="12" fillId="5" borderId="0" xfId="0" applyFont="1" applyFill="1" applyAlignment="1">
      <alignment wrapText="1"/>
    </xf>
    <xf numFmtId="0" fontId="12" fillId="5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9" xfId="0" applyFont="1" applyBorder="1"/>
    <xf numFmtId="10" fontId="16" fillId="7" borderId="0" xfId="0" applyNumberFormat="1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18" fillId="0" borderId="0" xfId="1"/>
    <xf numFmtId="0" fontId="19" fillId="0" borderId="3" xfId="1" applyFont="1" applyBorder="1"/>
    <xf numFmtId="0" fontId="15" fillId="6" borderId="19" xfId="0" applyFont="1" applyFill="1" applyBorder="1" applyAlignment="1">
      <alignment horizontal="center"/>
    </xf>
    <xf numFmtId="10" fontId="15" fillId="6" borderId="19" xfId="0" applyNumberFormat="1" applyFont="1" applyFill="1" applyBorder="1" applyAlignment="1">
      <alignment horizontal="center"/>
    </xf>
    <xf numFmtId="0" fontId="20" fillId="0" borderId="0" xfId="1" applyNumberFormat="1" applyFont="1" applyAlignment="1">
      <alignment wrapText="1"/>
    </xf>
    <xf numFmtId="0" fontId="20" fillId="0" borderId="0" xfId="1" applyFont="1" applyAlignment="1">
      <alignment wrapText="1"/>
    </xf>
    <xf numFmtId="0" fontId="20" fillId="0" borderId="0" xfId="0" applyFont="1" applyAlignment="1">
      <alignment wrapText="1"/>
    </xf>
    <xf numFmtId="0" fontId="0" fillId="0" borderId="0" xfId="0" quotePrefix="1"/>
    <xf numFmtId="0" fontId="0" fillId="0" borderId="0" xfId="0"/>
    <xf numFmtId="0" fontId="0" fillId="3" borderId="19" xfId="0" applyFill="1" applyBorder="1" applyAlignment="1">
      <alignment horizontal="center"/>
    </xf>
    <xf numFmtId="0" fontId="12" fillId="10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1" fillId="11" borderId="0" xfId="0" applyFont="1" applyFill="1"/>
    <xf numFmtId="10" fontId="0" fillId="12" borderId="0" xfId="0" applyNumberFormat="1" applyFill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1" fillId="0" borderId="19" xfId="0" applyFont="1" applyBorder="1" applyAlignment="1">
      <alignment horizontal="left" vertical="center" indent="1"/>
    </xf>
    <xf numFmtId="0" fontId="23" fillId="8" borderId="0" xfId="0" applyFont="1" applyFill="1" applyAlignment="1">
      <alignment horizontal="center" vertical="center"/>
    </xf>
    <xf numFmtId="0" fontId="4" fillId="8" borderId="0" xfId="0" applyFont="1" applyFill="1"/>
    <xf numFmtId="0" fontId="21" fillId="9" borderId="0" xfId="0" applyFont="1" applyFill="1" applyAlignment="1">
      <alignment horizontal="center" vertical="center"/>
    </xf>
    <xf numFmtId="0" fontId="8" fillId="9" borderId="0" xfId="0" applyFont="1" applyFill="1"/>
    <xf numFmtId="0" fontId="22" fillId="6" borderId="0" xfId="0" applyFont="1" applyFill="1"/>
    <xf numFmtId="0" fontId="8" fillId="0" borderId="0" xfId="0" applyFont="1"/>
    <xf numFmtId="0" fontId="10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8" fillId="2" borderId="4" xfId="0" applyFont="1" applyFill="1" applyBorder="1" applyAlignment="1">
      <alignment horizontal="center"/>
    </xf>
    <xf numFmtId="0" fontId="4" fillId="0" borderId="17" xfId="0" applyFont="1" applyBorder="1"/>
    <xf numFmtId="0" fontId="0" fillId="3" borderId="19" xfId="0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4" fillId="0" borderId="13" xfId="0" applyFont="1" applyBorder="1"/>
    <xf numFmtId="0" fontId="3" fillId="2" borderId="12" xfId="0" applyFont="1" applyFill="1" applyBorder="1" applyAlignment="1">
      <alignment horizontal="center"/>
    </xf>
    <xf numFmtId="0" fontId="4" fillId="0" borderId="14" xfId="0" applyFont="1" applyBorder="1"/>
    <xf numFmtId="0" fontId="6" fillId="0" borderId="0" xfId="0" applyFont="1"/>
    <xf numFmtId="0" fontId="0" fillId="0" borderId="0" xfId="0"/>
    <xf numFmtId="0" fontId="5" fillId="0" borderId="10" xfId="0" applyFont="1" applyBorder="1"/>
    <xf numFmtId="0" fontId="4" fillId="0" borderId="15" xfId="0" applyFont="1" applyBorder="1"/>
    <xf numFmtId="0" fontId="10" fillId="2" borderId="1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4" fillId="0" borderId="19" xfId="0" applyFont="1" applyBorder="1"/>
    <xf numFmtId="0" fontId="8" fillId="2" borderId="1" xfId="0" applyFont="1" applyFill="1" applyBorder="1" applyAlignment="1">
      <alignment horizontal="center"/>
    </xf>
    <xf numFmtId="0" fontId="25" fillId="0" borderId="3" xfId="1" applyFont="1" applyBorder="1"/>
    <xf numFmtId="0" fontId="1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2"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none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Requerimientos" displayName="ResumenRequerimientos" ref="A9:I27">
  <tableColumns count="9">
    <tableColumn id="1" xr3:uid="{00000000-0010-0000-0000-000001000000}" name="Módulo / Vista" dataDxfId="1"/>
    <tableColumn id="2" xr3:uid="{00000000-0010-0000-0000-000002000000}" name="Funcionales"/>
    <tableColumn id="3" xr3:uid="{00000000-0010-0000-0000-000003000000}" name="No funcionales"/>
    <tableColumn id="4" xr3:uid="{00000000-0010-0000-0000-000004000000}" name="Total"/>
    <tableColumn id="5" xr3:uid="{00000000-0010-0000-0000-000005000000}" name="Marcados SI"/>
    <tableColumn id="6" xr3:uid="{00000000-0010-0000-0000-000006000000}" name="% cumplimiento"/>
    <tableColumn id="7" xr3:uid="{00000000-0010-0000-0000-000007000000}" name="NO"/>
    <tableColumn id="8" xr3:uid="{00000000-0010-0000-0000-000008000000}" name="ADI"/>
    <tableColumn id="10" xr3:uid="{BE59FE2A-DBE4-4C92-97BC-1C2E376A551D}" name="Redirigi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59999389629810485"/>
  </sheetPr>
  <dimension ref="A1:I30"/>
  <sheetViews>
    <sheetView tabSelected="1" zoomScale="88" zoomScaleNormal="100" workbookViewId="0">
      <selection activeCell="B30" sqref="B30"/>
    </sheetView>
  </sheetViews>
  <sheetFormatPr baseColWidth="10" defaultColWidth="9.09765625" defaultRowHeight="14.4" x14ac:dyDescent="0.3"/>
  <cols>
    <col min="1" max="1" width="28" customWidth="1"/>
    <col min="2" max="8" width="18" customWidth="1"/>
    <col min="9" max="9" width="42.59765625" bestFit="1" customWidth="1"/>
  </cols>
  <sheetData>
    <row r="1" spans="1:9" ht="27.95" customHeight="1" x14ac:dyDescent="0.3">
      <c r="A1" s="62" t="s">
        <v>20</v>
      </c>
      <c r="B1" s="63"/>
      <c r="C1" s="63"/>
      <c r="D1" s="63"/>
      <c r="E1" s="63"/>
      <c r="F1" s="63"/>
      <c r="G1" s="63"/>
      <c r="H1" s="63"/>
      <c r="I1" s="63"/>
    </row>
    <row r="2" spans="1:9" x14ac:dyDescent="0.3">
      <c r="A2" s="64" t="s">
        <v>48</v>
      </c>
      <c r="B2" s="65"/>
      <c r="C2" s="65"/>
      <c r="D2" s="65"/>
      <c r="E2" s="65"/>
      <c r="F2" s="65"/>
      <c r="G2" s="65"/>
      <c r="H2" s="65"/>
      <c r="I2" s="65"/>
    </row>
    <row r="4" spans="1:9" x14ac:dyDescent="0.3">
      <c r="A4" s="38" t="s">
        <v>21</v>
      </c>
      <c r="B4" s="48">
        <f>B29</f>
        <v>1166</v>
      </c>
      <c r="D4" s="66"/>
      <c r="E4" s="67"/>
      <c r="F4" s="67"/>
      <c r="G4" s="67"/>
      <c r="H4" s="67"/>
      <c r="I4" s="67"/>
    </row>
    <row r="5" spans="1:9" x14ac:dyDescent="0.3">
      <c r="A5" s="38" t="s">
        <v>22</v>
      </c>
      <c r="B5" s="48">
        <f>C29</f>
        <v>871</v>
      </c>
    </row>
    <row r="6" spans="1:9" x14ac:dyDescent="0.3">
      <c r="A6" s="38" t="s">
        <v>23</v>
      </c>
      <c r="B6" s="48">
        <f>B4+B5</f>
        <v>2037</v>
      </c>
    </row>
    <row r="7" spans="1:9" x14ac:dyDescent="0.3">
      <c r="A7" s="38" t="s">
        <v>24</v>
      </c>
      <c r="B7" s="49">
        <f>F29</f>
        <v>1</v>
      </c>
    </row>
    <row r="9" spans="1:9" x14ac:dyDescent="0.3">
      <c r="A9" s="56" t="s">
        <v>25</v>
      </c>
      <c r="B9" s="57" t="s">
        <v>26</v>
      </c>
      <c r="C9" s="57" t="s">
        <v>27</v>
      </c>
      <c r="D9" s="57" t="s">
        <v>28</v>
      </c>
      <c r="E9" s="57" t="s">
        <v>29</v>
      </c>
      <c r="F9" s="57" t="s">
        <v>30</v>
      </c>
      <c r="G9" s="57" t="s">
        <v>3</v>
      </c>
      <c r="H9" s="57" t="s">
        <v>5</v>
      </c>
      <c r="I9" s="58" t="s">
        <v>37</v>
      </c>
    </row>
    <row r="10" spans="1:9" ht="16.149999999999999" x14ac:dyDescent="0.35">
      <c r="A10" s="50" t="s">
        <v>31</v>
      </c>
      <c r="B10" s="35">
        <v>118</v>
      </c>
      <c r="C10" s="35">
        <v>62</v>
      </c>
      <c r="D10" s="35">
        <f t="shared" ref="D10:D26" si="0">B10+C10</f>
        <v>180</v>
      </c>
      <c r="E10" s="35">
        <v>180</v>
      </c>
      <c r="F10" s="42">
        <f t="shared" ref="F10:F27" si="1">IF(D10=0,0,E10/D10)</f>
        <v>1</v>
      </c>
      <c r="G10" s="35">
        <v>0</v>
      </c>
      <c r="H10" s="35">
        <v>0</v>
      </c>
      <c r="I10" s="47" t="str">
        <f>HYPERLINK("#'BD'!A1","BD")</f>
        <v>BD</v>
      </c>
    </row>
    <row r="11" spans="1:9" ht="16.149999999999999" x14ac:dyDescent="0.35">
      <c r="A11" s="51" t="s">
        <v>32</v>
      </c>
      <c r="B11" s="35">
        <v>70</v>
      </c>
      <c r="C11" s="35">
        <v>61</v>
      </c>
      <c r="D11" s="35">
        <f t="shared" si="0"/>
        <v>131</v>
      </c>
      <c r="E11" s="35">
        <v>131</v>
      </c>
      <c r="F11" s="59">
        <f t="shared" si="1"/>
        <v>1</v>
      </c>
      <c r="G11" s="35">
        <v>0</v>
      </c>
      <c r="H11" s="35">
        <v>0</v>
      </c>
      <c r="I11" s="47" t="str">
        <f>HYPERLINK("#'Landing'!A1","Landing")</f>
        <v>Landing</v>
      </c>
    </row>
    <row r="12" spans="1:9" ht="16.149999999999999" x14ac:dyDescent="0.35">
      <c r="A12" s="51" t="s">
        <v>33</v>
      </c>
      <c r="B12" s="35">
        <v>46</v>
      </c>
      <c r="C12" s="35">
        <v>53</v>
      </c>
      <c r="D12" s="35">
        <f t="shared" ref="D12" si="2">B12+C12</f>
        <v>99</v>
      </c>
      <c r="E12" s="35">
        <v>99</v>
      </c>
      <c r="F12" s="42">
        <f t="shared" ref="F12" si="3">IF(D12=0,0,E12/D12)</f>
        <v>1</v>
      </c>
      <c r="G12" s="35">
        <v>0</v>
      </c>
      <c r="H12" s="35">
        <v>0</v>
      </c>
      <c r="I12" s="47" t="str">
        <f>HYPERLINK("#'Login'!A1","Login")</f>
        <v>Login</v>
      </c>
    </row>
    <row r="13" spans="1:9" ht="16.149999999999999" x14ac:dyDescent="0.35">
      <c r="A13" s="51" t="s">
        <v>39</v>
      </c>
      <c r="B13" s="35">
        <v>30</v>
      </c>
      <c r="C13" s="35">
        <v>40</v>
      </c>
      <c r="D13" s="35">
        <f t="shared" si="0"/>
        <v>70</v>
      </c>
      <c r="E13" s="35">
        <v>70</v>
      </c>
      <c r="F13" s="42">
        <f t="shared" si="1"/>
        <v>1</v>
      </c>
      <c r="G13" s="35">
        <v>0</v>
      </c>
      <c r="H13" s="35">
        <v>0</v>
      </c>
      <c r="I13" s="47" t="str">
        <f>HYPERLINK("#'Cierre de sesión'!A1","Cierre de Sesión")</f>
        <v>Cierre de Sesión</v>
      </c>
    </row>
    <row r="14" spans="1:9" ht="16.149999999999999" x14ac:dyDescent="0.35">
      <c r="A14" s="51" t="s">
        <v>34</v>
      </c>
      <c r="B14" s="35">
        <v>35</v>
      </c>
      <c r="C14" s="35">
        <v>30</v>
      </c>
      <c r="D14" s="35">
        <f t="shared" si="0"/>
        <v>65</v>
      </c>
      <c r="E14" s="35">
        <v>65</v>
      </c>
      <c r="F14" s="42">
        <f t="shared" si="1"/>
        <v>1</v>
      </c>
      <c r="G14" s="35">
        <v>0</v>
      </c>
      <c r="H14" s="35">
        <v>0</v>
      </c>
      <c r="I14" s="47" t="str">
        <f>HYPERLINK("#'Recuperar Contraseña'!A1","Recuperar Contraseña")</f>
        <v>Recuperar Contraseña</v>
      </c>
    </row>
    <row r="15" spans="1:9" ht="16.149999999999999" x14ac:dyDescent="0.35">
      <c r="A15" s="51" t="s">
        <v>40</v>
      </c>
      <c r="B15" s="35">
        <v>57</v>
      </c>
      <c r="C15" s="35">
        <v>52</v>
      </c>
      <c r="D15" s="35">
        <f t="shared" ref="D15" si="4">B15+C15</f>
        <v>109</v>
      </c>
      <c r="E15" s="35">
        <v>109</v>
      </c>
      <c r="F15" s="42">
        <f t="shared" ref="F15" si="5">IF(D15=0,0,E15/D15)</f>
        <v>1</v>
      </c>
      <c r="G15" s="35">
        <v>0</v>
      </c>
      <c r="H15" s="35">
        <v>0</v>
      </c>
      <c r="I15" s="47" t="str">
        <f>HYPERLINK("#'Cambiar Contraseña'!A1","Cambiar Contraseña")</f>
        <v>Cambiar Contraseña</v>
      </c>
    </row>
    <row r="16" spans="1:9" ht="16.149999999999999" x14ac:dyDescent="0.35">
      <c r="A16" s="51" t="s">
        <v>35</v>
      </c>
      <c r="B16" s="35">
        <v>56</v>
      </c>
      <c r="C16" s="35">
        <v>40</v>
      </c>
      <c r="D16" s="35">
        <f t="shared" si="0"/>
        <v>96</v>
      </c>
      <c r="E16" s="35">
        <v>96</v>
      </c>
      <c r="F16" s="42">
        <f t="shared" si="1"/>
        <v>1</v>
      </c>
      <c r="G16" s="35">
        <v>0</v>
      </c>
      <c r="H16" s="35">
        <v>0</v>
      </c>
      <c r="I16" s="47" t="str">
        <f>HYPERLINK("#'Dashboard Admin'!A1","Dashboard Admin")</f>
        <v>Dashboard Admin</v>
      </c>
    </row>
    <row r="17" spans="1:9" x14ac:dyDescent="0.3">
      <c r="A17" s="52" t="s">
        <v>1979</v>
      </c>
      <c r="B17" s="35">
        <v>73</v>
      </c>
      <c r="C17" s="35">
        <v>52</v>
      </c>
      <c r="D17" s="35">
        <f t="shared" si="0"/>
        <v>125</v>
      </c>
      <c r="E17" s="35">
        <v>125</v>
      </c>
      <c r="F17" s="42">
        <f t="shared" si="1"/>
        <v>1</v>
      </c>
      <c r="G17" s="35">
        <v>0</v>
      </c>
      <c r="H17" s="35">
        <v>0</v>
      </c>
      <c r="I17" s="89" t="str">
        <f>HYPERLINK("#'Dashboard PEDIDOS'!A1","Dashboard PEDIDOS")</f>
        <v>Dashboard PEDIDOS</v>
      </c>
    </row>
    <row r="18" spans="1:9" x14ac:dyDescent="0.3">
      <c r="A18" s="52" t="s">
        <v>1980</v>
      </c>
      <c r="B18" s="35">
        <v>79</v>
      </c>
      <c r="C18" s="35">
        <v>49</v>
      </c>
      <c r="D18" s="35">
        <f t="shared" si="0"/>
        <v>128</v>
      </c>
      <c r="E18" s="35">
        <v>128</v>
      </c>
      <c r="F18" s="42">
        <f t="shared" si="1"/>
        <v>1</v>
      </c>
      <c r="G18" s="35">
        <v>0</v>
      </c>
      <c r="H18" s="35">
        <v>0</v>
      </c>
      <c r="I18" s="89" t="str">
        <f>HYPERLINK("#'Dashboard PRODUCTOS'!A1","Dashboard PRODUCTOS")</f>
        <v>Dashboard PRODUCTOS</v>
      </c>
    </row>
    <row r="19" spans="1:9" x14ac:dyDescent="0.3">
      <c r="A19" s="52" t="s">
        <v>1981</v>
      </c>
      <c r="B19" s="35">
        <v>105</v>
      </c>
      <c r="C19" s="35">
        <v>57</v>
      </c>
      <c r="D19" s="35">
        <f t="shared" si="0"/>
        <v>162</v>
      </c>
      <c r="E19" s="35">
        <v>162</v>
      </c>
      <c r="F19" s="42">
        <f t="shared" si="1"/>
        <v>1</v>
      </c>
      <c r="G19" s="35">
        <v>0</v>
      </c>
      <c r="H19" s="35">
        <v>0</v>
      </c>
      <c r="I19" s="89" t="str">
        <f>HYPERLINK("#'Dashboard VENDEDORES'!A1","Dashboard VENDEDORES")</f>
        <v>Dashboard VENDEDORES</v>
      </c>
    </row>
    <row r="20" spans="1:9" x14ac:dyDescent="0.3">
      <c r="A20" s="52" t="s">
        <v>1982</v>
      </c>
      <c r="B20" s="35">
        <v>68</v>
      </c>
      <c r="C20" s="35">
        <v>52</v>
      </c>
      <c r="D20" s="35">
        <f t="shared" si="0"/>
        <v>120</v>
      </c>
      <c r="E20" s="35">
        <v>120</v>
      </c>
      <c r="F20" s="42">
        <f t="shared" si="1"/>
        <v>1</v>
      </c>
      <c r="G20" s="35">
        <v>0</v>
      </c>
      <c r="H20" s="35">
        <v>0</v>
      </c>
      <c r="I20" s="89" t="str">
        <f>HYPERLINK("#'Dashboard COMISIONES'!A1","Dashboard COMISIONES")</f>
        <v>Dashboard COMISIONES</v>
      </c>
    </row>
    <row r="21" spans="1:9" x14ac:dyDescent="0.3">
      <c r="A21" s="52" t="s">
        <v>1983</v>
      </c>
      <c r="B21" s="35">
        <v>54</v>
      </c>
      <c r="C21" s="35">
        <v>45</v>
      </c>
      <c r="D21" s="35">
        <f t="shared" si="0"/>
        <v>99</v>
      </c>
      <c r="E21" s="90">
        <v>99</v>
      </c>
      <c r="F21" s="42">
        <f t="shared" si="1"/>
        <v>1</v>
      </c>
      <c r="G21" s="35">
        <v>0</v>
      </c>
      <c r="H21" s="35">
        <v>0</v>
      </c>
      <c r="I21" s="89" t="str">
        <f>HYPERLINK("#'Dashboard REPORTES'!A1","Dashboard REPORTES")</f>
        <v>Dashboard REPORTES</v>
      </c>
    </row>
    <row r="22" spans="1:9" x14ac:dyDescent="0.3">
      <c r="A22" s="52" t="s">
        <v>1984</v>
      </c>
      <c r="B22" s="35">
        <v>46</v>
      </c>
      <c r="C22" s="35">
        <v>40</v>
      </c>
      <c r="D22" s="35">
        <f t="shared" si="0"/>
        <v>86</v>
      </c>
      <c r="E22" s="35">
        <v>86</v>
      </c>
      <c r="F22" s="42">
        <f t="shared" si="1"/>
        <v>1</v>
      </c>
      <c r="G22" s="35">
        <v>0</v>
      </c>
      <c r="H22" s="35">
        <v>0</v>
      </c>
      <c r="I22" s="89" t="str">
        <f>HYPERLINK("#'Dashboard CONFIG'!A1","Dashboard CONFIG")</f>
        <v>Dashboard CONFIG</v>
      </c>
    </row>
    <row r="23" spans="1:9" x14ac:dyDescent="0.3">
      <c r="A23" s="52" t="s">
        <v>1985</v>
      </c>
      <c r="B23" s="35">
        <v>60</v>
      </c>
      <c r="C23" s="35">
        <v>43</v>
      </c>
      <c r="D23" s="35">
        <f t="shared" si="0"/>
        <v>103</v>
      </c>
      <c r="E23" s="35">
        <v>103</v>
      </c>
      <c r="F23" s="42">
        <f t="shared" si="1"/>
        <v>1</v>
      </c>
      <c r="G23" s="35">
        <v>0</v>
      </c>
      <c r="H23" s="35">
        <v>0</v>
      </c>
      <c r="I23" s="89" t="str">
        <f>HYPERLINK("#'Vendedor INICIO'!A1","Vendedor INICIO")</f>
        <v>Vendedor INICIO</v>
      </c>
    </row>
    <row r="24" spans="1:9" x14ac:dyDescent="0.3">
      <c r="A24" s="52" t="s">
        <v>1986</v>
      </c>
      <c r="B24" s="35">
        <v>64</v>
      </c>
      <c r="C24" s="35">
        <v>43</v>
      </c>
      <c r="D24" s="35">
        <f t="shared" si="0"/>
        <v>107</v>
      </c>
      <c r="E24" s="35">
        <v>107</v>
      </c>
      <c r="F24" s="42">
        <f t="shared" si="1"/>
        <v>1</v>
      </c>
      <c r="G24" s="35">
        <v>0</v>
      </c>
      <c r="H24" s="35">
        <v>0</v>
      </c>
      <c r="I24" s="89" t="str">
        <f>HYPERLINK("#'Vendedor PRODUCTOS'!A1","Vendedor PRODUCTOS")</f>
        <v>Vendedor PRODUCTOS</v>
      </c>
    </row>
    <row r="25" spans="1:9" x14ac:dyDescent="0.3">
      <c r="A25" s="52" t="s">
        <v>1987</v>
      </c>
      <c r="B25" s="35">
        <v>85</v>
      </c>
      <c r="C25" s="35">
        <v>53</v>
      </c>
      <c r="D25" s="35">
        <f t="shared" si="0"/>
        <v>138</v>
      </c>
      <c r="E25" s="35">
        <v>138</v>
      </c>
      <c r="F25" s="42">
        <f t="shared" si="1"/>
        <v>1</v>
      </c>
      <c r="G25" s="35">
        <v>0</v>
      </c>
      <c r="H25" s="35">
        <v>0</v>
      </c>
      <c r="I25" s="89" t="str">
        <f>HYPERLINK("#'Vendedor NUEVO PEDIDO'!A1","Vendedor NUEVO PEDIDO")</f>
        <v>Vendedor NUEVO PEDIDO</v>
      </c>
    </row>
    <row r="26" spans="1:9" x14ac:dyDescent="0.3">
      <c r="A26" s="52" t="s">
        <v>1988</v>
      </c>
      <c r="B26" s="35">
        <v>78</v>
      </c>
      <c r="C26" s="35">
        <v>59</v>
      </c>
      <c r="D26" s="35">
        <f t="shared" si="0"/>
        <v>137</v>
      </c>
      <c r="E26" s="35">
        <v>137</v>
      </c>
      <c r="F26" s="42">
        <f t="shared" si="1"/>
        <v>1</v>
      </c>
      <c r="G26" s="35">
        <v>0</v>
      </c>
      <c r="H26" s="35">
        <v>0</v>
      </c>
      <c r="I26" s="89" t="str">
        <f>HYPERLINK("#'Vendedor MIS PEDIDOS'!A1","Vendedor MIS PEDIDOS")</f>
        <v>Vendedor MIS PEDIDOS</v>
      </c>
    </row>
    <row r="27" spans="1:9" x14ac:dyDescent="0.3">
      <c r="A27" s="52" t="s">
        <v>1989</v>
      </c>
      <c r="B27" s="35">
        <v>42</v>
      </c>
      <c r="C27" s="35">
        <v>40</v>
      </c>
      <c r="D27" s="35">
        <f>B27+C27</f>
        <v>82</v>
      </c>
      <c r="E27" s="35">
        <v>82</v>
      </c>
      <c r="F27" s="42">
        <f t="shared" si="1"/>
        <v>1</v>
      </c>
      <c r="G27" s="35">
        <v>0</v>
      </c>
      <c r="H27" s="35">
        <v>0</v>
      </c>
      <c r="I27" s="89" t="str">
        <f>HYPERLINK("#'Vendedor  COMISIONES'!A1","Vendedor COMISIONES")</f>
        <v>Vendedor COMISIONES</v>
      </c>
    </row>
    <row r="28" spans="1:9" x14ac:dyDescent="0.3">
      <c r="A28" s="39"/>
      <c r="B28" s="35"/>
      <c r="C28" s="35"/>
      <c r="D28" s="35"/>
      <c r="E28" s="35"/>
      <c r="F28" s="35"/>
      <c r="G28" s="35"/>
      <c r="H28" s="35"/>
    </row>
    <row r="29" spans="1:9" x14ac:dyDescent="0.3">
      <c r="A29" s="40" t="s">
        <v>36</v>
      </c>
      <c r="B29" s="41">
        <f>SUM(B10:B27)</f>
        <v>1166</v>
      </c>
      <c r="C29" s="41">
        <f>SUM(C10:C27)</f>
        <v>871</v>
      </c>
      <c r="D29" s="45">
        <f>SUM(D10:D27)</f>
        <v>2037</v>
      </c>
      <c r="E29" s="41">
        <f>SUM(E10:E27)</f>
        <v>2037</v>
      </c>
      <c r="F29" s="44">
        <f>IF(D29=0,0,E29/D29)</f>
        <v>1</v>
      </c>
      <c r="G29" s="41">
        <f>SUM(G10:G27)</f>
        <v>0</v>
      </c>
      <c r="H29" s="41">
        <f>SUM(H10:H27)</f>
        <v>0</v>
      </c>
      <c r="I29" s="41"/>
    </row>
    <row r="30" spans="1:9" x14ac:dyDescent="0.3">
      <c r="A30" s="39"/>
    </row>
  </sheetData>
  <mergeCells count="3">
    <mergeCell ref="A1:I1"/>
    <mergeCell ref="A2:I2"/>
    <mergeCell ref="D4:I4"/>
  </mergeCells>
  <conditionalFormatting sqref="F10:F29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pageSetup paperSize="257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6337778862885"/>
  </sheetPr>
  <dimension ref="B1:I1114"/>
  <sheetViews>
    <sheetView topLeftCell="A184" zoomScale="70" zoomScaleNormal="70" workbookViewId="0">
      <selection activeCell="D191" sqref="D191"/>
    </sheetView>
  </sheetViews>
  <sheetFormatPr baseColWidth="10" defaultColWidth="14.3984375" defaultRowHeight="14.4" x14ac:dyDescent="0.3"/>
  <cols>
    <col min="1" max="1" width="5.296875" customWidth="1"/>
    <col min="2" max="2" width="12.8984375" customWidth="1"/>
    <col min="3" max="3" width="13.296875" customWidth="1"/>
    <col min="4" max="4" width="153.09765625" customWidth="1"/>
    <col min="5" max="5" width="5" customWidth="1"/>
    <col min="6" max="8" width="8" customWidth="1"/>
    <col min="9" max="9" width="60.59765625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43</v>
      </c>
      <c r="C2" s="69"/>
      <c r="D2" s="69"/>
      <c r="E2" s="69"/>
      <c r="F2" s="69"/>
      <c r="G2" s="69"/>
      <c r="H2" s="69"/>
      <c r="I2" s="70"/>
    </row>
    <row r="3" spans="2:9" x14ac:dyDescent="0.3">
      <c r="B3" s="18" t="s">
        <v>1</v>
      </c>
      <c r="C3" s="18" t="s">
        <v>2</v>
      </c>
      <c r="D3" s="19"/>
    </row>
    <row r="4" spans="2:9" x14ac:dyDescent="0.3">
      <c r="B4" s="18" t="s">
        <v>3</v>
      </c>
      <c r="C4" s="18" t="s">
        <v>4</v>
      </c>
      <c r="D4" s="19"/>
    </row>
    <row r="5" spans="2:9" x14ac:dyDescent="0.3">
      <c r="B5" s="18" t="s">
        <v>5</v>
      </c>
      <c r="C5" s="18" t="s">
        <v>6</v>
      </c>
      <c r="D5" s="19"/>
    </row>
    <row r="6" spans="2:9" x14ac:dyDescent="0.3">
      <c r="B6" s="18" t="s">
        <v>7</v>
      </c>
      <c r="C6" s="18" t="s">
        <v>8</v>
      </c>
      <c r="D6" s="19"/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74" t="s">
        <v>11</v>
      </c>
      <c r="D9" s="73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">
        <v>1</v>
      </c>
      <c r="D10" t="s">
        <v>1799</v>
      </c>
      <c r="F10" s="24" t="s">
        <v>12</v>
      </c>
      <c r="G10" s="3"/>
      <c r="H10" s="3"/>
      <c r="I10" s="3"/>
    </row>
    <row r="11" spans="2:9" x14ac:dyDescent="0.3">
      <c r="C11" s="2">
        <v>2</v>
      </c>
      <c r="D11" t="s">
        <v>1800</v>
      </c>
      <c r="F11" s="24" t="s">
        <v>13</v>
      </c>
      <c r="G11" s="3"/>
      <c r="H11" s="3"/>
      <c r="I11" s="3"/>
    </row>
    <row r="12" spans="2:9" x14ac:dyDescent="0.3">
      <c r="C12" s="2">
        <v>3</v>
      </c>
      <c r="D12" t="s">
        <v>1801</v>
      </c>
      <c r="F12" s="24" t="s">
        <v>12</v>
      </c>
      <c r="G12" s="3"/>
      <c r="H12" s="3"/>
      <c r="I12" s="3"/>
    </row>
    <row r="13" spans="2:9" x14ac:dyDescent="0.3">
      <c r="C13" s="2">
        <v>4</v>
      </c>
      <c r="D13" t="s">
        <v>1802</v>
      </c>
      <c r="F13" s="24" t="s">
        <v>13</v>
      </c>
      <c r="G13" s="3"/>
      <c r="H13" s="3"/>
      <c r="I13" s="3"/>
    </row>
    <row r="14" spans="2:9" x14ac:dyDescent="0.3">
      <c r="C14" s="2">
        <v>5</v>
      </c>
      <c r="D14" t="s">
        <v>1803</v>
      </c>
      <c r="F14" s="24" t="s">
        <v>12</v>
      </c>
      <c r="G14" s="3"/>
      <c r="H14" s="3"/>
      <c r="I14" s="3"/>
    </row>
    <row r="15" spans="2:9" x14ac:dyDescent="0.3">
      <c r="C15" s="2">
        <v>6</v>
      </c>
      <c r="D15" t="s">
        <v>1804</v>
      </c>
      <c r="F15" s="24" t="s">
        <v>13</v>
      </c>
      <c r="G15" s="3"/>
      <c r="H15" s="3"/>
      <c r="I15" s="3"/>
    </row>
    <row r="16" spans="2:9" x14ac:dyDescent="0.3">
      <c r="C16" s="2">
        <v>7</v>
      </c>
      <c r="D16" t="s">
        <v>1805</v>
      </c>
      <c r="F16" s="24" t="s">
        <v>12</v>
      </c>
      <c r="G16" s="3"/>
      <c r="H16" s="3"/>
      <c r="I16" s="3"/>
    </row>
    <row r="17" spans="3:9" x14ac:dyDescent="0.3">
      <c r="C17" s="2">
        <v>8</v>
      </c>
      <c r="D17" t="s">
        <v>1806</v>
      </c>
      <c r="F17" s="24" t="s">
        <v>13</v>
      </c>
      <c r="G17" s="3"/>
      <c r="H17" s="3"/>
      <c r="I17" s="3"/>
    </row>
    <row r="18" spans="3:9" x14ac:dyDescent="0.3">
      <c r="C18" s="2">
        <v>9</v>
      </c>
      <c r="D18" t="s">
        <v>1807</v>
      </c>
      <c r="F18" s="24" t="s">
        <v>12</v>
      </c>
      <c r="G18" s="3"/>
      <c r="H18" s="3"/>
      <c r="I18" s="3"/>
    </row>
    <row r="19" spans="3:9" x14ac:dyDescent="0.3">
      <c r="C19" s="2">
        <v>10</v>
      </c>
      <c r="D19" t="s">
        <v>1808</v>
      </c>
      <c r="F19" s="24" t="s">
        <v>13</v>
      </c>
      <c r="G19" s="3"/>
      <c r="H19" s="3"/>
      <c r="I19" s="3"/>
    </row>
    <row r="20" spans="3:9" x14ac:dyDescent="0.3">
      <c r="C20" s="2">
        <v>11</v>
      </c>
      <c r="D20" t="s">
        <v>1809</v>
      </c>
      <c r="F20" s="24" t="s">
        <v>12</v>
      </c>
      <c r="G20" s="3"/>
      <c r="H20" s="3"/>
      <c r="I20" s="3"/>
    </row>
    <row r="21" spans="3:9" ht="15.7" customHeight="1" x14ac:dyDescent="0.3">
      <c r="C21" s="2">
        <v>12</v>
      </c>
      <c r="D21" t="s">
        <v>1810</v>
      </c>
      <c r="F21" s="24" t="s">
        <v>13</v>
      </c>
      <c r="G21" s="3"/>
      <c r="H21" s="3"/>
      <c r="I21" s="3"/>
    </row>
    <row r="22" spans="3:9" ht="15.7" customHeight="1" x14ac:dyDescent="0.3">
      <c r="C22" s="2">
        <v>13</v>
      </c>
      <c r="D22" t="s">
        <v>1811</v>
      </c>
      <c r="F22" s="24" t="s">
        <v>12</v>
      </c>
      <c r="G22" s="3"/>
      <c r="H22" s="3"/>
      <c r="I22" s="3"/>
    </row>
    <row r="23" spans="3:9" ht="15.7" customHeight="1" x14ac:dyDescent="0.3">
      <c r="C23" s="2">
        <v>14</v>
      </c>
      <c r="D23" t="s">
        <v>1812</v>
      </c>
      <c r="F23" s="24" t="s">
        <v>13</v>
      </c>
      <c r="G23" s="3"/>
      <c r="H23" s="3"/>
      <c r="I23" s="3"/>
    </row>
    <row r="24" spans="3:9" ht="15.7" customHeight="1" x14ac:dyDescent="0.3">
      <c r="C24" s="2">
        <v>15</v>
      </c>
      <c r="D24" t="s">
        <v>1813</v>
      </c>
      <c r="F24" s="24" t="s">
        <v>12</v>
      </c>
      <c r="G24" s="3"/>
      <c r="H24" s="3"/>
      <c r="I24" s="3"/>
    </row>
    <row r="25" spans="3:9" ht="15.7" customHeight="1" x14ac:dyDescent="0.3">
      <c r="C25" s="2">
        <v>16</v>
      </c>
      <c r="D25" t="s">
        <v>1814</v>
      </c>
      <c r="F25" s="24" t="s">
        <v>13</v>
      </c>
      <c r="G25" s="3"/>
      <c r="H25" s="3"/>
      <c r="I25" s="3"/>
    </row>
    <row r="26" spans="3:9" ht="15.7" customHeight="1" x14ac:dyDescent="0.3">
      <c r="C26" s="2">
        <v>17</v>
      </c>
      <c r="D26" t="s">
        <v>1815</v>
      </c>
      <c r="F26" s="24" t="s">
        <v>12</v>
      </c>
      <c r="G26" s="3"/>
      <c r="H26" s="3"/>
      <c r="I26" s="3"/>
    </row>
    <row r="27" spans="3:9" ht="15.7" customHeight="1" x14ac:dyDescent="0.3">
      <c r="C27" s="2">
        <v>18</v>
      </c>
      <c r="D27" t="s">
        <v>1816</v>
      </c>
      <c r="F27" s="24" t="s">
        <v>13</v>
      </c>
      <c r="G27" s="3"/>
      <c r="H27" s="3"/>
      <c r="I27" s="3"/>
    </row>
    <row r="28" spans="3:9" ht="15.7" customHeight="1" x14ac:dyDescent="0.3">
      <c r="C28" s="2">
        <v>19</v>
      </c>
      <c r="D28" t="s">
        <v>1817</v>
      </c>
      <c r="F28" s="24" t="s">
        <v>12</v>
      </c>
      <c r="G28" s="3"/>
      <c r="H28" s="3"/>
      <c r="I28" s="3"/>
    </row>
    <row r="29" spans="3:9" ht="15.7" customHeight="1" x14ac:dyDescent="0.3">
      <c r="C29" s="2">
        <v>20</v>
      </c>
      <c r="D29" t="s">
        <v>1818</v>
      </c>
      <c r="F29" s="24" t="s">
        <v>13</v>
      </c>
      <c r="G29" s="3"/>
      <c r="H29" s="3"/>
      <c r="I29" s="3"/>
    </row>
    <row r="30" spans="3:9" ht="15.7" customHeight="1" x14ac:dyDescent="0.3">
      <c r="C30" s="2">
        <v>21</v>
      </c>
      <c r="D30" t="s">
        <v>1819</v>
      </c>
      <c r="F30" s="24" t="s">
        <v>12</v>
      </c>
      <c r="G30" s="3"/>
      <c r="H30" s="3"/>
      <c r="I30" s="3"/>
    </row>
    <row r="31" spans="3:9" ht="15.7" customHeight="1" x14ac:dyDescent="0.3">
      <c r="C31" s="2">
        <v>22</v>
      </c>
      <c r="D31" t="s">
        <v>1820</v>
      </c>
      <c r="F31" s="24" t="s">
        <v>13</v>
      </c>
      <c r="G31" s="3"/>
      <c r="H31" s="3"/>
      <c r="I31" s="3"/>
    </row>
    <row r="32" spans="3:9" ht="15.7" customHeight="1" x14ac:dyDescent="0.3">
      <c r="C32" s="2">
        <v>23</v>
      </c>
      <c r="D32" t="s">
        <v>1821</v>
      </c>
      <c r="F32" s="24" t="s">
        <v>12</v>
      </c>
      <c r="G32" s="3"/>
      <c r="H32" s="3"/>
      <c r="I32" s="3"/>
    </row>
    <row r="33" spans="3:9" ht="15.7" customHeight="1" x14ac:dyDescent="0.3">
      <c r="C33" s="2">
        <v>24</v>
      </c>
      <c r="D33" t="s">
        <v>1822</v>
      </c>
      <c r="F33" s="24" t="s">
        <v>13</v>
      </c>
      <c r="G33" s="3"/>
      <c r="H33" s="3"/>
      <c r="I33" s="3"/>
    </row>
    <row r="34" spans="3:9" ht="15.7" customHeight="1" x14ac:dyDescent="0.3">
      <c r="C34" s="2">
        <v>25</v>
      </c>
      <c r="D34" t="s">
        <v>1823</v>
      </c>
      <c r="F34" s="24" t="s">
        <v>12</v>
      </c>
      <c r="G34" s="3"/>
      <c r="H34" s="3"/>
      <c r="I34" s="3"/>
    </row>
    <row r="35" spans="3:9" ht="15.7" customHeight="1" x14ac:dyDescent="0.3">
      <c r="C35" s="2">
        <v>26</v>
      </c>
      <c r="D35" t="s">
        <v>1824</v>
      </c>
      <c r="F35" s="24" t="s">
        <v>13</v>
      </c>
      <c r="G35" s="3"/>
      <c r="H35" s="3"/>
      <c r="I35" s="3"/>
    </row>
    <row r="36" spans="3:9" ht="15.7" customHeight="1" x14ac:dyDescent="0.3">
      <c r="C36" s="2">
        <v>27</v>
      </c>
      <c r="D36" t="s">
        <v>1825</v>
      </c>
      <c r="F36" s="24" t="s">
        <v>12</v>
      </c>
      <c r="G36" s="3"/>
      <c r="H36" s="3"/>
      <c r="I36" s="3"/>
    </row>
    <row r="37" spans="3:9" ht="15.7" customHeight="1" x14ac:dyDescent="0.3">
      <c r="C37" s="2">
        <v>28</v>
      </c>
      <c r="D37" t="s">
        <v>1826</v>
      </c>
      <c r="F37" s="24" t="s">
        <v>13</v>
      </c>
      <c r="G37" s="3"/>
      <c r="H37" s="3"/>
      <c r="I37" s="3"/>
    </row>
    <row r="38" spans="3:9" ht="15.7" customHeight="1" x14ac:dyDescent="0.3">
      <c r="C38" s="2">
        <v>29</v>
      </c>
      <c r="D38" t="s">
        <v>1827</v>
      </c>
      <c r="F38" s="24" t="s">
        <v>12</v>
      </c>
      <c r="G38" s="3"/>
      <c r="H38" s="3"/>
      <c r="I38" s="3"/>
    </row>
    <row r="39" spans="3:9" ht="15.7" customHeight="1" x14ac:dyDescent="0.3">
      <c r="C39" s="2">
        <v>30</v>
      </c>
      <c r="D39" t="s">
        <v>1828</v>
      </c>
      <c r="F39" s="24" t="s">
        <v>13</v>
      </c>
      <c r="G39" s="3"/>
      <c r="H39" s="3"/>
      <c r="I39" s="3"/>
    </row>
    <row r="40" spans="3:9" ht="15.7" customHeight="1" x14ac:dyDescent="0.3">
      <c r="C40" s="2">
        <v>31</v>
      </c>
      <c r="D40" t="s">
        <v>1829</v>
      </c>
      <c r="F40" s="24" t="s">
        <v>12</v>
      </c>
      <c r="G40" s="3"/>
      <c r="H40" s="3"/>
      <c r="I40" s="3"/>
    </row>
    <row r="41" spans="3:9" ht="15.7" customHeight="1" x14ac:dyDescent="0.3">
      <c r="C41" s="2">
        <v>32</v>
      </c>
      <c r="D41" t="s">
        <v>1830</v>
      </c>
      <c r="F41" s="24" t="s">
        <v>13</v>
      </c>
      <c r="G41" s="3"/>
      <c r="H41" s="3"/>
      <c r="I41" s="3"/>
    </row>
    <row r="42" spans="3:9" x14ac:dyDescent="0.3">
      <c r="C42" s="2">
        <v>33</v>
      </c>
      <c r="D42" t="s">
        <v>1831</v>
      </c>
      <c r="F42" s="24" t="s">
        <v>12</v>
      </c>
      <c r="G42" s="3"/>
      <c r="H42" s="3"/>
      <c r="I42" s="3"/>
    </row>
    <row r="43" spans="3:9" x14ac:dyDescent="0.3">
      <c r="C43" s="2">
        <v>34</v>
      </c>
      <c r="D43" t="s">
        <v>1832</v>
      </c>
      <c r="F43" s="24" t="s">
        <v>13</v>
      </c>
      <c r="G43" s="3"/>
      <c r="H43" s="3"/>
      <c r="I43" s="3"/>
    </row>
    <row r="44" spans="3:9" ht="15.7" customHeight="1" x14ac:dyDescent="0.3">
      <c r="C44" s="2">
        <v>35</v>
      </c>
      <c r="D44" t="s">
        <v>1833</v>
      </c>
      <c r="F44" s="24" t="s">
        <v>12</v>
      </c>
      <c r="G44" s="3"/>
      <c r="H44" s="3"/>
      <c r="I44" s="3"/>
    </row>
    <row r="45" spans="3:9" ht="15.7" customHeight="1" x14ac:dyDescent="0.3">
      <c r="C45" s="2">
        <v>36</v>
      </c>
      <c r="D45" t="s">
        <v>1834</v>
      </c>
      <c r="F45" s="24" t="s">
        <v>13</v>
      </c>
      <c r="G45" s="3"/>
      <c r="H45" s="3"/>
      <c r="I45" s="3"/>
    </row>
    <row r="46" spans="3:9" ht="15.7" customHeight="1" x14ac:dyDescent="0.3">
      <c r="C46" s="2">
        <v>37</v>
      </c>
      <c r="D46" t="s">
        <v>1835</v>
      </c>
      <c r="F46" s="24" t="s">
        <v>12</v>
      </c>
      <c r="G46" s="3"/>
      <c r="H46" s="3"/>
      <c r="I46" s="3"/>
    </row>
    <row r="47" spans="3:9" ht="15.7" customHeight="1" x14ac:dyDescent="0.3">
      <c r="C47" s="2">
        <v>38</v>
      </c>
      <c r="D47" t="s">
        <v>1836</v>
      </c>
      <c r="F47" s="24" t="s">
        <v>13</v>
      </c>
      <c r="G47" s="3"/>
      <c r="H47" s="3"/>
      <c r="I47" s="3"/>
    </row>
    <row r="48" spans="3:9" ht="15.7" customHeight="1" x14ac:dyDescent="0.3">
      <c r="C48" s="2">
        <v>39</v>
      </c>
      <c r="D48" t="s">
        <v>1837</v>
      </c>
      <c r="F48" s="24" t="s">
        <v>12</v>
      </c>
      <c r="G48" s="3"/>
      <c r="H48" s="3"/>
      <c r="I48" s="3"/>
    </row>
    <row r="49" spans="3:9" ht="15.7" customHeight="1" x14ac:dyDescent="0.3">
      <c r="C49" s="2">
        <v>40</v>
      </c>
      <c r="D49" t="s">
        <v>1838</v>
      </c>
      <c r="F49" s="24" t="s">
        <v>13</v>
      </c>
      <c r="G49" s="3"/>
      <c r="H49" s="3"/>
      <c r="I49" s="3"/>
    </row>
    <row r="50" spans="3:9" ht="15.7" customHeight="1" x14ac:dyDescent="0.3">
      <c r="C50" s="2">
        <v>41</v>
      </c>
      <c r="D50" t="s">
        <v>1839</v>
      </c>
      <c r="F50" s="24" t="s">
        <v>12</v>
      </c>
      <c r="G50" s="22"/>
      <c r="H50" s="22"/>
      <c r="I50" s="22"/>
    </row>
    <row r="51" spans="3:9" ht="15.7" customHeight="1" x14ac:dyDescent="0.3">
      <c r="C51" s="2">
        <v>42</v>
      </c>
      <c r="D51" t="s">
        <v>1840</v>
      </c>
      <c r="F51" s="24" t="s">
        <v>13</v>
      </c>
      <c r="G51" s="19"/>
      <c r="H51" s="19"/>
      <c r="I51" s="19"/>
    </row>
    <row r="52" spans="3:9" ht="15.7" customHeight="1" x14ac:dyDescent="0.3">
      <c r="C52" s="2">
        <v>43</v>
      </c>
      <c r="D52" t="s">
        <v>1841</v>
      </c>
      <c r="F52" s="24" t="s">
        <v>12</v>
      </c>
      <c r="G52" s="19"/>
      <c r="H52" s="19"/>
      <c r="I52" s="19"/>
    </row>
    <row r="53" spans="3:9" ht="15.7" customHeight="1" x14ac:dyDescent="0.3">
      <c r="C53" s="2">
        <v>44</v>
      </c>
      <c r="D53" t="s">
        <v>1842</v>
      </c>
      <c r="F53" s="24" t="s">
        <v>13</v>
      </c>
      <c r="G53" s="19"/>
      <c r="H53" s="19"/>
      <c r="I53" s="19"/>
    </row>
    <row r="54" spans="3:9" ht="15.7" customHeight="1" x14ac:dyDescent="0.3">
      <c r="C54" s="2">
        <v>45</v>
      </c>
      <c r="D54" t="s">
        <v>1843</v>
      </c>
      <c r="F54" s="24" t="s">
        <v>12</v>
      </c>
      <c r="G54" s="19"/>
      <c r="H54" s="19"/>
      <c r="I54" s="19"/>
    </row>
    <row r="55" spans="3:9" ht="15.7" customHeight="1" x14ac:dyDescent="0.3">
      <c r="C55" s="2">
        <v>46</v>
      </c>
      <c r="D55" t="s">
        <v>1844</v>
      </c>
      <c r="F55" s="24" t="s">
        <v>13</v>
      </c>
      <c r="G55" s="19"/>
      <c r="H55" s="19"/>
      <c r="I55" s="19"/>
    </row>
    <row r="56" spans="3:9" ht="15.7" customHeight="1" x14ac:dyDescent="0.3">
      <c r="C56" s="2">
        <v>47</v>
      </c>
      <c r="D56" t="s">
        <v>1845</v>
      </c>
      <c r="F56" s="24" t="s">
        <v>12</v>
      </c>
      <c r="G56" s="19"/>
      <c r="H56" s="19"/>
      <c r="I56" s="19"/>
    </row>
    <row r="57" spans="3:9" ht="15.7" customHeight="1" x14ac:dyDescent="0.3">
      <c r="C57" s="2">
        <v>48</v>
      </c>
      <c r="D57" t="s">
        <v>1846</v>
      </c>
      <c r="F57" s="24" t="s">
        <v>13</v>
      </c>
      <c r="G57" s="19"/>
      <c r="H57" s="19"/>
      <c r="I57" s="19"/>
    </row>
    <row r="58" spans="3:9" ht="15.7" customHeight="1" x14ac:dyDescent="0.3">
      <c r="C58" s="2">
        <v>49</v>
      </c>
      <c r="D58" t="s">
        <v>1847</v>
      </c>
      <c r="F58" s="24" t="s">
        <v>12</v>
      </c>
      <c r="G58" s="19"/>
      <c r="H58" s="19"/>
      <c r="I58" s="19"/>
    </row>
    <row r="59" spans="3:9" ht="15.7" customHeight="1" x14ac:dyDescent="0.3">
      <c r="C59" s="2">
        <v>50</v>
      </c>
      <c r="D59" t="s">
        <v>1848</v>
      </c>
      <c r="F59" s="24" t="s">
        <v>13</v>
      </c>
      <c r="G59" s="19"/>
      <c r="H59" s="19"/>
      <c r="I59" s="19"/>
    </row>
    <row r="60" spans="3:9" ht="15.7" customHeight="1" x14ac:dyDescent="0.3">
      <c r="C60" s="2">
        <v>51</v>
      </c>
      <c r="D60" t="s">
        <v>1849</v>
      </c>
      <c r="F60" s="24" t="s">
        <v>12</v>
      </c>
      <c r="G60" s="19"/>
      <c r="H60" s="19"/>
      <c r="I60" s="19"/>
    </row>
    <row r="61" spans="3:9" ht="15.7" customHeight="1" x14ac:dyDescent="0.3">
      <c r="C61" s="2">
        <v>52</v>
      </c>
      <c r="D61" t="s">
        <v>1850</v>
      </c>
      <c r="F61" s="24" t="s">
        <v>13</v>
      </c>
      <c r="G61" s="19"/>
      <c r="H61" s="19"/>
      <c r="I61" s="19"/>
    </row>
    <row r="62" spans="3:9" ht="15.7" customHeight="1" x14ac:dyDescent="0.3">
      <c r="C62" s="2">
        <v>53</v>
      </c>
      <c r="D62" t="s">
        <v>1851</v>
      </c>
      <c r="F62" s="24" t="s">
        <v>12</v>
      </c>
      <c r="G62" s="19"/>
      <c r="H62" s="19"/>
      <c r="I62" s="19"/>
    </row>
    <row r="63" spans="3:9" ht="15.7" customHeight="1" x14ac:dyDescent="0.3">
      <c r="C63" s="2">
        <v>54</v>
      </c>
      <c r="D63" t="s">
        <v>1852</v>
      </c>
      <c r="F63" s="24" t="s">
        <v>13</v>
      </c>
      <c r="G63" s="19"/>
      <c r="H63" s="19"/>
      <c r="I63" s="19"/>
    </row>
    <row r="64" spans="3:9" ht="15.7" customHeight="1" x14ac:dyDescent="0.3">
      <c r="C64" s="2">
        <v>55</v>
      </c>
      <c r="D64" t="s">
        <v>1853</v>
      </c>
      <c r="F64" s="24" t="s">
        <v>12</v>
      </c>
      <c r="G64" s="19"/>
      <c r="H64" s="19"/>
      <c r="I64" s="19"/>
    </row>
    <row r="65" spans="3:9" ht="15.7" customHeight="1" x14ac:dyDescent="0.3">
      <c r="C65" s="2">
        <v>56</v>
      </c>
      <c r="D65" t="s">
        <v>1854</v>
      </c>
      <c r="F65" s="24" t="s">
        <v>13</v>
      </c>
      <c r="G65" s="19"/>
      <c r="H65" s="19"/>
      <c r="I65" s="19"/>
    </row>
    <row r="66" spans="3:9" ht="15.7" customHeight="1" x14ac:dyDescent="0.3">
      <c r="C66" s="2">
        <v>57</v>
      </c>
      <c r="D66" t="s">
        <v>1855</v>
      </c>
      <c r="F66" s="24" t="s">
        <v>12</v>
      </c>
      <c r="G66" s="19"/>
      <c r="H66" s="19"/>
      <c r="I66" s="19"/>
    </row>
    <row r="67" spans="3:9" ht="15.7" customHeight="1" x14ac:dyDescent="0.3">
      <c r="C67" s="2">
        <v>58</v>
      </c>
      <c r="D67" t="s">
        <v>1856</v>
      </c>
      <c r="F67" s="24" t="s">
        <v>13</v>
      </c>
      <c r="G67" s="19"/>
      <c r="H67" s="19"/>
      <c r="I67" s="19"/>
    </row>
    <row r="68" spans="3:9" ht="15.7" customHeight="1" x14ac:dyDescent="0.3">
      <c r="C68" s="2">
        <v>59</v>
      </c>
      <c r="D68" t="s">
        <v>1857</v>
      </c>
      <c r="F68" s="24" t="s">
        <v>12</v>
      </c>
      <c r="G68" s="19"/>
      <c r="H68" s="19"/>
      <c r="I68" s="19"/>
    </row>
    <row r="69" spans="3:9" ht="15.7" customHeight="1" x14ac:dyDescent="0.3">
      <c r="C69" s="2">
        <v>60</v>
      </c>
      <c r="D69" t="s">
        <v>1858</v>
      </c>
      <c r="F69" s="24" t="s">
        <v>13</v>
      </c>
      <c r="G69" s="19"/>
      <c r="H69" s="19"/>
      <c r="I69" s="19"/>
    </row>
    <row r="70" spans="3:9" ht="15.7" customHeight="1" x14ac:dyDescent="0.3">
      <c r="C70" s="2">
        <v>61</v>
      </c>
      <c r="D70" t="s">
        <v>1859</v>
      </c>
      <c r="F70" s="24" t="s">
        <v>12</v>
      </c>
      <c r="G70" s="19"/>
      <c r="H70" s="19"/>
      <c r="I70" s="19"/>
    </row>
    <row r="71" spans="3:9" ht="15.7" customHeight="1" x14ac:dyDescent="0.3">
      <c r="C71" s="2">
        <v>62</v>
      </c>
      <c r="D71" t="s">
        <v>1860</v>
      </c>
      <c r="F71" s="24" t="s">
        <v>13</v>
      </c>
      <c r="G71" s="19"/>
      <c r="H71" s="19"/>
      <c r="I71" s="19"/>
    </row>
    <row r="72" spans="3:9" ht="15.7" customHeight="1" x14ac:dyDescent="0.3">
      <c r="C72" s="2">
        <v>63</v>
      </c>
      <c r="D72" t="s">
        <v>1861</v>
      </c>
      <c r="F72" s="24" t="s">
        <v>12</v>
      </c>
      <c r="G72" s="19"/>
      <c r="H72" s="19"/>
      <c r="I72" s="19"/>
    </row>
    <row r="73" spans="3:9" ht="15.7" customHeight="1" x14ac:dyDescent="0.3">
      <c r="C73" s="2">
        <v>64</v>
      </c>
      <c r="D73" t="s">
        <v>1862</v>
      </c>
      <c r="F73" s="24" t="s">
        <v>13</v>
      </c>
      <c r="G73" s="19"/>
      <c r="H73" s="19"/>
      <c r="I73" s="19"/>
    </row>
    <row r="74" spans="3:9" ht="15.7" customHeight="1" x14ac:dyDescent="0.3">
      <c r="C74" s="2">
        <v>65</v>
      </c>
      <c r="D74" t="s">
        <v>1863</v>
      </c>
      <c r="F74" s="24" t="s">
        <v>12</v>
      </c>
      <c r="G74" s="19"/>
      <c r="H74" s="19"/>
      <c r="I74" s="19"/>
    </row>
    <row r="75" spans="3:9" ht="15.7" customHeight="1" x14ac:dyDescent="0.3">
      <c r="C75" s="2">
        <v>66</v>
      </c>
      <c r="D75" t="s">
        <v>1864</v>
      </c>
      <c r="F75" s="24" t="s">
        <v>13</v>
      </c>
      <c r="G75" s="19"/>
      <c r="H75" s="19"/>
      <c r="I75" s="19"/>
    </row>
    <row r="76" spans="3:9" ht="15.7" customHeight="1" x14ac:dyDescent="0.3">
      <c r="C76" s="2">
        <v>67</v>
      </c>
      <c r="D76" t="s">
        <v>1865</v>
      </c>
      <c r="F76" s="24" t="s">
        <v>12</v>
      </c>
      <c r="G76" s="19"/>
      <c r="H76" s="19"/>
      <c r="I76" s="19"/>
    </row>
    <row r="77" spans="3:9" ht="15.7" customHeight="1" x14ac:dyDescent="0.3">
      <c r="C77" s="2">
        <v>68</v>
      </c>
      <c r="D77" t="s">
        <v>1866</v>
      </c>
      <c r="F77" s="24" t="s">
        <v>13</v>
      </c>
      <c r="G77" s="19"/>
      <c r="H77" s="19"/>
      <c r="I77" s="19"/>
    </row>
    <row r="78" spans="3:9" ht="15.7" customHeight="1" x14ac:dyDescent="0.3">
      <c r="C78" s="2">
        <v>69</v>
      </c>
      <c r="D78" t="s">
        <v>1867</v>
      </c>
      <c r="F78" s="24" t="s">
        <v>12</v>
      </c>
      <c r="G78" s="19"/>
      <c r="H78" s="19"/>
      <c r="I78" s="19"/>
    </row>
    <row r="79" spans="3:9" ht="15.7" customHeight="1" x14ac:dyDescent="0.3">
      <c r="C79" s="2">
        <v>70</v>
      </c>
      <c r="D79" t="s">
        <v>1868</v>
      </c>
      <c r="F79" s="24" t="s">
        <v>13</v>
      </c>
      <c r="G79" s="19"/>
      <c r="H79" s="19"/>
      <c r="I79" s="19"/>
    </row>
    <row r="80" spans="3:9" ht="15.7" customHeight="1" x14ac:dyDescent="0.3">
      <c r="C80" s="2">
        <v>71</v>
      </c>
      <c r="D80" t="s">
        <v>1869</v>
      </c>
      <c r="F80" s="24" t="s">
        <v>12</v>
      </c>
      <c r="G80" s="19"/>
      <c r="H80" s="19"/>
      <c r="I80" s="19"/>
    </row>
    <row r="81" spans="3:9" ht="15.7" customHeight="1" x14ac:dyDescent="0.3">
      <c r="C81" s="2">
        <v>72</v>
      </c>
      <c r="D81" t="s">
        <v>1870</v>
      </c>
      <c r="F81" s="24" t="s">
        <v>13</v>
      </c>
      <c r="G81" s="19"/>
      <c r="H81" s="19"/>
      <c r="I81" s="19"/>
    </row>
    <row r="82" spans="3:9" ht="15.7" customHeight="1" x14ac:dyDescent="0.3">
      <c r="C82" s="2">
        <v>73</v>
      </c>
      <c r="D82" t="s">
        <v>1871</v>
      </c>
      <c r="F82" s="24" t="s">
        <v>12</v>
      </c>
      <c r="G82" s="19"/>
      <c r="H82" s="19"/>
      <c r="I82" s="19"/>
    </row>
    <row r="83" spans="3:9" ht="15.7" customHeight="1" x14ac:dyDescent="0.3">
      <c r="C83" s="2">
        <v>74</v>
      </c>
      <c r="D83" t="s">
        <v>1872</v>
      </c>
      <c r="F83" s="24" t="s">
        <v>13</v>
      </c>
      <c r="G83" s="19"/>
      <c r="H83" s="19"/>
      <c r="I83" s="19"/>
    </row>
    <row r="84" spans="3:9" ht="15.7" customHeight="1" x14ac:dyDescent="0.3">
      <c r="C84" s="2">
        <v>75</v>
      </c>
      <c r="D84" t="s">
        <v>1873</v>
      </c>
      <c r="F84" s="24" t="s">
        <v>12</v>
      </c>
      <c r="G84" s="19"/>
      <c r="H84" s="19"/>
      <c r="I84" s="19"/>
    </row>
    <row r="85" spans="3:9" ht="15.7" customHeight="1" x14ac:dyDescent="0.3">
      <c r="C85" s="2">
        <v>76</v>
      </c>
      <c r="D85" t="s">
        <v>1874</v>
      </c>
      <c r="F85" s="24" t="s">
        <v>13</v>
      </c>
      <c r="G85" s="19"/>
      <c r="H85" s="19"/>
      <c r="I85" s="19"/>
    </row>
    <row r="86" spans="3:9" ht="15.7" customHeight="1" x14ac:dyDescent="0.3">
      <c r="C86" s="2">
        <v>77</v>
      </c>
      <c r="D86" t="s">
        <v>1875</v>
      </c>
      <c r="F86" s="24" t="s">
        <v>12</v>
      </c>
      <c r="G86" s="19"/>
      <c r="H86" s="19"/>
      <c r="I86" s="19"/>
    </row>
    <row r="87" spans="3:9" ht="15.7" customHeight="1" x14ac:dyDescent="0.3">
      <c r="C87" s="2">
        <v>78</v>
      </c>
      <c r="D87" t="s">
        <v>1876</v>
      </c>
      <c r="F87" s="24" t="s">
        <v>13</v>
      </c>
      <c r="G87" s="19"/>
      <c r="H87" s="19"/>
      <c r="I87" s="19"/>
    </row>
    <row r="88" spans="3:9" ht="15.7" customHeight="1" x14ac:dyDescent="0.3">
      <c r="C88" s="2">
        <v>79</v>
      </c>
      <c r="D88" t="s">
        <v>1877</v>
      </c>
      <c r="F88" s="24" t="s">
        <v>12</v>
      </c>
      <c r="G88" s="19"/>
      <c r="H88" s="19"/>
      <c r="I88" s="19"/>
    </row>
    <row r="89" spans="3:9" ht="15.7" customHeight="1" x14ac:dyDescent="0.3">
      <c r="C89" s="2">
        <v>80</v>
      </c>
      <c r="D89" t="s">
        <v>1878</v>
      </c>
      <c r="F89" s="24" t="s">
        <v>13</v>
      </c>
      <c r="G89" s="19"/>
      <c r="H89" s="19"/>
      <c r="I89" s="19"/>
    </row>
    <row r="90" spans="3:9" ht="15.7" customHeight="1" x14ac:dyDescent="0.3">
      <c r="C90" s="2">
        <v>81</v>
      </c>
      <c r="D90" t="s">
        <v>1879</v>
      </c>
      <c r="F90" s="24" t="s">
        <v>12</v>
      </c>
      <c r="G90" s="19"/>
      <c r="H90" s="19"/>
      <c r="I90" s="19"/>
    </row>
    <row r="91" spans="3:9" ht="15.7" customHeight="1" x14ac:dyDescent="0.3">
      <c r="C91" s="2">
        <v>82</v>
      </c>
      <c r="D91" t="s">
        <v>1880</v>
      </c>
      <c r="F91" s="24" t="s">
        <v>13</v>
      </c>
      <c r="G91" s="19"/>
      <c r="H91" s="19"/>
      <c r="I91" s="19"/>
    </row>
    <row r="92" spans="3:9" ht="15.7" customHeight="1" x14ac:dyDescent="0.3">
      <c r="C92" s="2">
        <v>83</v>
      </c>
      <c r="D92" t="s">
        <v>1881</v>
      </c>
      <c r="F92" s="24" t="s">
        <v>12</v>
      </c>
      <c r="G92" s="19"/>
      <c r="H92" s="19"/>
      <c r="I92" s="19"/>
    </row>
    <row r="93" spans="3:9" ht="15.7" customHeight="1" x14ac:dyDescent="0.3">
      <c r="C93" s="2">
        <v>84</v>
      </c>
      <c r="D93" t="s">
        <v>1882</v>
      </c>
      <c r="F93" s="24" t="s">
        <v>13</v>
      </c>
      <c r="G93" s="19"/>
      <c r="H93" s="19"/>
      <c r="I93" s="19"/>
    </row>
    <row r="94" spans="3:9" ht="15.7" customHeight="1" x14ac:dyDescent="0.3">
      <c r="C94" s="2">
        <v>85</v>
      </c>
      <c r="D94" t="s">
        <v>1883</v>
      </c>
      <c r="F94" s="24" t="s">
        <v>12</v>
      </c>
      <c r="G94" s="19"/>
      <c r="H94" s="19"/>
      <c r="I94" s="19"/>
    </row>
    <row r="95" spans="3:9" ht="15.7" customHeight="1" x14ac:dyDescent="0.3">
      <c r="C95" s="2">
        <v>86</v>
      </c>
      <c r="D95" t="s">
        <v>1884</v>
      </c>
      <c r="F95" s="24" t="s">
        <v>13</v>
      </c>
      <c r="G95" s="19"/>
      <c r="H95" s="19"/>
      <c r="I95" s="19"/>
    </row>
    <row r="96" spans="3:9" ht="15.7" customHeight="1" x14ac:dyDescent="0.3">
      <c r="C96" s="2">
        <v>87</v>
      </c>
      <c r="D96" t="s">
        <v>1885</v>
      </c>
      <c r="F96" s="24" t="s">
        <v>12</v>
      </c>
      <c r="G96" s="19"/>
      <c r="H96" s="19"/>
      <c r="I96" s="19"/>
    </row>
    <row r="97" spans="3:9" ht="15.7" customHeight="1" x14ac:dyDescent="0.3">
      <c r="C97" s="2">
        <v>88</v>
      </c>
      <c r="D97" t="s">
        <v>1886</v>
      </c>
      <c r="F97" s="24" t="s">
        <v>13</v>
      </c>
      <c r="G97" s="19"/>
      <c r="H97" s="19"/>
      <c r="I97" s="19"/>
    </row>
    <row r="98" spans="3:9" ht="15.7" customHeight="1" x14ac:dyDescent="0.3">
      <c r="C98" s="2">
        <v>89</v>
      </c>
      <c r="D98" t="s">
        <v>1887</v>
      </c>
      <c r="F98" s="24" t="s">
        <v>12</v>
      </c>
      <c r="G98" s="19"/>
      <c r="H98" s="19"/>
      <c r="I98" s="19"/>
    </row>
    <row r="99" spans="3:9" ht="15.7" customHeight="1" x14ac:dyDescent="0.3">
      <c r="C99" s="2">
        <v>90</v>
      </c>
      <c r="D99" t="s">
        <v>1888</v>
      </c>
      <c r="F99" s="24" t="s">
        <v>13</v>
      </c>
      <c r="G99" s="19"/>
      <c r="H99" s="19"/>
      <c r="I99" s="19"/>
    </row>
    <row r="100" spans="3:9" ht="15.7" customHeight="1" x14ac:dyDescent="0.3">
      <c r="C100" s="2">
        <v>91</v>
      </c>
      <c r="D100" t="s">
        <v>1889</v>
      </c>
      <c r="F100" s="24" t="s">
        <v>12</v>
      </c>
      <c r="G100" s="19"/>
      <c r="H100" s="19"/>
      <c r="I100" s="19"/>
    </row>
    <row r="101" spans="3:9" ht="15.7" customHeight="1" x14ac:dyDescent="0.3">
      <c r="C101" s="2">
        <v>92</v>
      </c>
      <c r="D101" t="s">
        <v>1890</v>
      </c>
      <c r="F101" s="24" t="s">
        <v>13</v>
      </c>
      <c r="G101" s="19"/>
      <c r="H101" s="19"/>
      <c r="I101" s="19"/>
    </row>
    <row r="102" spans="3:9" ht="15.7" customHeight="1" x14ac:dyDescent="0.3">
      <c r="C102" s="2">
        <v>93</v>
      </c>
      <c r="D102" t="s">
        <v>1891</v>
      </c>
      <c r="F102" s="24" t="s">
        <v>12</v>
      </c>
      <c r="G102" s="19"/>
      <c r="H102" s="19"/>
      <c r="I102" s="19"/>
    </row>
    <row r="103" spans="3:9" ht="15.7" customHeight="1" x14ac:dyDescent="0.3">
      <c r="C103" s="2">
        <v>94</v>
      </c>
      <c r="D103" t="s">
        <v>1892</v>
      </c>
      <c r="F103" s="24" t="s">
        <v>13</v>
      </c>
      <c r="G103" s="19"/>
      <c r="H103" s="19"/>
      <c r="I103" s="19"/>
    </row>
    <row r="104" spans="3:9" ht="15.7" customHeight="1" x14ac:dyDescent="0.3">
      <c r="C104" s="2">
        <v>95</v>
      </c>
      <c r="D104" t="s">
        <v>1893</v>
      </c>
      <c r="F104" s="24" t="s">
        <v>12</v>
      </c>
      <c r="G104" s="19"/>
      <c r="H104" s="19"/>
      <c r="I104" s="19"/>
    </row>
    <row r="105" spans="3:9" ht="15.7" customHeight="1" x14ac:dyDescent="0.3">
      <c r="C105" s="2">
        <v>96</v>
      </c>
      <c r="D105" t="s">
        <v>1894</v>
      </c>
      <c r="F105" s="24" t="s">
        <v>13</v>
      </c>
      <c r="G105" s="19"/>
      <c r="H105" s="19"/>
      <c r="I105" s="19"/>
    </row>
    <row r="106" spans="3:9" ht="15.7" customHeight="1" x14ac:dyDescent="0.3">
      <c r="C106" s="2">
        <v>97</v>
      </c>
      <c r="D106" t="s">
        <v>1895</v>
      </c>
      <c r="F106" s="24" t="s">
        <v>12</v>
      </c>
      <c r="G106" s="19"/>
      <c r="H106" s="19"/>
      <c r="I106" s="19"/>
    </row>
    <row r="107" spans="3:9" ht="15.7" customHeight="1" x14ac:dyDescent="0.3">
      <c r="C107" s="2">
        <v>98</v>
      </c>
      <c r="D107" t="s">
        <v>1896</v>
      </c>
      <c r="F107" s="24" t="s">
        <v>13</v>
      </c>
      <c r="G107" s="19"/>
      <c r="H107" s="19"/>
      <c r="I107" s="19"/>
    </row>
    <row r="108" spans="3:9" ht="15.7" customHeight="1" x14ac:dyDescent="0.3">
      <c r="C108" s="2">
        <v>99</v>
      </c>
      <c r="D108" t="s">
        <v>1897</v>
      </c>
      <c r="F108" s="24" t="s">
        <v>12</v>
      </c>
      <c r="G108" s="19"/>
      <c r="H108" s="19"/>
      <c r="I108" s="19"/>
    </row>
    <row r="109" spans="3:9" ht="15.7" customHeight="1" x14ac:dyDescent="0.3">
      <c r="C109" s="2">
        <v>100</v>
      </c>
      <c r="D109" t="s">
        <v>1898</v>
      </c>
      <c r="F109" s="24" t="s">
        <v>13</v>
      </c>
      <c r="G109" s="19"/>
      <c r="H109" s="19"/>
      <c r="I109" s="19"/>
    </row>
    <row r="110" spans="3:9" s="54" customFormat="1" ht="15.7" customHeight="1" x14ac:dyDescent="0.3">
      <c r="C110" s="2">
        <v>101</v>
      </c>
      <c r="D110" t="s">
        <v>1899</v>
      </c>
      <c r="F110" s="24" t="s">
        <v>13</v>
      </c>
      <c r="G110" s="19"/>
      <c r="H110" s="19"/>
      <c r="I110" s="19"/>
    </row>
    <row r="111" spans="3:9" s="54" customFormat="1" ht="15.7" customHeight="1" x14ac:dyDescent="0.3">
      <c r="C111" s="2">
        <v>102</v>
      </c>
      <c r="D111" t="s">
        <v>1900</v>
      </c>
      <c r="F111" s="24" t="s">
        <v>13</v>
      </c>
      <c r="G111" s="19"/>
      <c r="H111" s="19"/>
      <c r="I111" s="19"/>
    </row>
    <row r="112" spans="3:9" s="54" customFormat="1" ht="15.7" customHeight="1" x14ac:dyDescent="0.3">
      <c r="C112" s="2">
        <v>103</v>
      </c>
      <c r="D112" t="s">
        <v>1901</v>
      </c>
      <c r="F112" s="24" t="s">
        <v>13</v>
      </c>
      <c r="G112" s="19"/>
      <c r="H112" s="19"/>
      <c r="I112" s="19"/>
    </row>
    <row r="113" spans="3:9" s="54" customFormat="1" ht="15.7" customHeight="1" x14ac:dyDescent="0.3">
      <c r="C113" s="2">
        <v>104</v>
      </c>
      <c r="D113" t="s">
        <v>1902</v>
      </c>
      <c r="F113" s="24" t="s">
        <v>13</v>
      </c>
      <c r="G113" s="19"/>
      <c r="H113" s="19"/>
      <c r="I113" s="19"/>
    </row>
    <row r="114" spans="3:9" s="54" customFormat="1" ht="15.7" customHeight="1" x14ac:dyDescent="0.3">
      <c r="C114" s="2">
        <v>105</v>
      </c>
      <c r="D114" t="s">
        <v>1903</v>
      </c>
      <c r="F114" s="24" t="s">
        <v>13</v>
      </c>
      <c r="G114" s="19"/>
      <c r="H114" s="19"/>
      <c r="I114" s="19"/>
    </row>
    <row r="115" spans="3:9" s="54" customFormat="1" ht="15.7" customHeight="1" x14ac:dyDescent="0.3">
      <c r="C115" s="2">
        <v>106</v>
      </c>
      <c r="D115" t="s">
        <v>1904</v>
      </c>
      <c r="F115" s="24" t="s">
        <v>13</v>
      </c>
      <c r="G115" s="19"/>
      <c r="H115" s="19"/>
      <c r="I115" s="19"/>
    </row>
    <row r="116" spans="3:9" s="54" customFormat="1" ht="15.7" customHeight="1" x14ac:dyDescent="0.3">
      <c r="C116" s="2">
        <v>107</v>
      </c>
      <c r="D116" t="s">
        <v>1905</v>
      </c>
      <c r="F116" s="24" t="s">
        <v>13</v>
      </c>
      <c r="G116" s="19"/>
      <c r="H116" s="19"/>
      <c r="I116" s="19"/>
    </row>
    <row r="117" spans="3:9" s="54" customFormat="1" ht="15.7" customHeight="1" x14ac:dyDescent="0.3">
      <c r="C117" s="2">
        <v>108</v>
      </c>
      <c r="D117" t="s">
        <v>1906</v>
      </c>
      <c r="F117" s="24" t="s">
        <v>13</v>
      </c>
      <c r="G117" s="19"/>
      <c r="H117" s="19"/>
      <c r="I117" s="19"/>
    </row>
    <row r="118" spans="3:9" s="54" customFormat="1" ht="15.7" customHeight="1" x14ac:dyDescent="0.3">
      <c r="C118" s="2">
        <v>109</v>
      </c>
      <c r="D118" t="s">
        <v>1907</v>
      </c>
      <c r="F118" s="24" t="s">
        <v>13</v>
      </c>
      <c r="G118" s="19"/>
      <c r="H118" s="19"/>
      <c r="I118" s="19"/>
    </row>
    <row r="119" spans="3:9" s="54" customFormat="1" ht="15.7" customHeight="1" x14ac:dyDescent="0.3">
      <c r="C119" s="2">
        <v>110</v>
      </c>
      <c r="D119" t="s">
        <v>1908</v>
      </c>
      <c r="F119" s="24" t="s">
        <v>13</v>
      </c>
      <c r="G119" s="19"/>
      <c r="H119" s="19"/>
      <c r="I119" s="19"/>
    </row>
    <row r="120" spans="3:9" s="54" customFormat="1" ht="15.7" customHeight="1" x14ac:dyDescent="0.3">
      <c r="C120" s="2">
        <v>111</v>
      </c>
      <c r="D120" t="s">
        <v>1909</v>
      </c>
      <c r="F120" s="24" t="s">
        <v>13</v>
      </c>
      <c r="G120" s="19"/>
      <c r="H120" s="19"/>
      <c r="I120" s="19"/>
    </row>
    <row r="121" spans="3:9" s="54" customFormat="1" ht="15.7" customHeight="1" x14ac:dyDescent="0.3">
      <c r="C121" s="2">
        <v>112</v>
      </c>
      <c r="D121" t="s">
        <v>1910</v>
      </c>
      <c r="F121" s="24" t="s">
        <v>13</v>
      </c>
      <c r="G121" s="19"/>
      <c r="H121" s="19"/>
      <c r="I121" s="19"/>
    </row>
    <row r="122" spans="3:9" s="54" customFormat="1" ht="15.7" customHeight="1" x14ac:dyDescent="0.3">
      <c r="C122" s="2">
        <v>113</v>
      </c>
      <c r="D122" t="s">
        <v>1911</v>
      </c>
      <c r="F122" s="24" t="s">
        <v>13</v>
      </c>
      <c r="G122" s="19"/>
      <c r="H122" s="19"/>
      <c r="I122" s="19"/>
    </row>
    <row r="123" spans="3:9" s="54" customFormat="1" ht="15.7" customHeight="1" x14ac:dyDescent="0.3">
      <c r="C123" s="2">
        <v>114</v>
      </c>
      <c r="D123" t="s">
        <v>1912</v>
      </c>
      <c r="F123" s="24" t="s">
        <v>13</v>
      </c>
      <c r="G123" s="19"/>
      <c r="H123" s="19"/>
      <c r="I123" s="19"/>
    </row>
    <row r="124" spans="3:9" s="54" customFormat="1" ht="15.7" customHeight="1" x14ac:dyDescent="0.3">
      <c r="C124" s="2">
        <v>115</v>
      </c>
      <c r="D124" t="s">
        <v>1913</v>
      </c>
      <c r="F124" s="24" t="s">
        <v>13</v>
      </c>
      <c r="G124" s="19"/>
      <c r="H124" s="19"/>
      <c r="I124" s="19"/>
    </row>
    <row r="125" spans="3:9" s="54" customFormat="1" ht="15.7" customHeight="1" x14ac:dyDescent="0.3">
      <c r="C125" s="2">
        <v>116</v>
      </c>
      <c r="D125" t="s">
        <v>1914</v>
      </c>
      <c r="F125" s="24" t="s">
        <v>13</v>
      </c>
      <c r="G125" s="19"/>
      <c r="H125" s="19"/>
      <c r="I125" s="19"/>
    </row>
    <row r="126" spans="3:9" s="54" customFormat="1" ht="15.7" customHeight="1" x14ac:dyDescent="0.3">
      <c r="C126" s="2">
        <v>117</v>
      </c>
      <c r="D126" t="s">
        <v>1915</v>
      </c>
      <c r="F126" s="24" t="s">
        <v>13</v>
      </c>
      <c r="G126" s="19"/>
      <c r="H126" s="19"/>
      <c r="I126" s="19"/>
    </row>
    <row r="127" spans="3:9" s="54" customFormat="1" ht="15.7" customHeight="1" x14ac:dyDescent="0.3">
      <c r="C127" s="2">
        <v>118</v>
      </c>
      <c r="D127" t="s">
        <v>1916</v>
      </c>
      <c r="F127" s="24" t="s">
        <v>13</v>
      </c>
      <c r="G127" s="19"/>
      <c r="H127" s="19"/>
      <c r="I127" s="19"/>
    </row>
    <row r="128" spans="3:9" ht="15.7" customHeight="1" x14ac:dyDescent="0.3"/>
    <row r="129" spans="3:9" ht="15.7" customHeight="1" x14ac:dyDescent="0.3"/>
    <row r="130" spans="3:9" ht="15.7" customHeight="1" x14ac:dyDescent="0.3">
      <c r="C130" s="74" t="s">
        <v>14</v>
      </c>
      <c r="D130" s="75"/>
      <c r="F130" s="9" t="s">
        <v>1</v>
      </c>
      <c r="G130" s="9" t="s">
        <v>3</v>
      </c>
      <c r="H130" s="9" t="s">
        <v>5</v>
      </c>
      <c r="I130" s="6" t="s">
        <v>10</v>
      </c>
    </row>
    <row r="131" spans="3:9" ht="15.7" customHeight="1" x14ac:dyDescent="0.3">
      <c r="C131" s="31">
        <v>1</v>
      </c>
      <c r="D131" t="s">
        <v>1917</v>
      </c>
      <c r="F131" s="24" t="s">
        <v>12</v>
      </c>
      <c r="G131" s="3"/>
      <c r="H131" s="3"/>
      <c r="I131" s="3"/>
    </row>
    <row r="132" spans="3:9" ht="15.7" customHeight="1" x14ac:dyDescent="0.3">
      <c r="C132" s="31">
        <v>2</v>
      </c>
      <c r="D132" t="s">
        <v>1918</v>
      </c>
      <c r="F132" s="24" t="s">
        <v>12</v>
      </c>
      <c r="G132" s="3"/>
      <c r="H132" s="3"/>
      <c r="I132" s="3"/>
    </row>
    <row r="133" spans="3:9" ht="15.7" customHeight="1" x14ac:dyDescent="0.3">
      <c r="C133" s="31">
        <v>3</v>
      </c>
      <c r="D133" t="s">
        <v>1919</v>
      </c>
      <c r="F133" s="24" t="s">
        <v>12</v>
      </c>
      <c r="G133" s="3"/>
      <c r="H133" s="3"/>
      <c r="I133" s="3"/>
    </row>
    <row r="134" spans="3:9" ht="15.7" customHeight="1" x14ac:dyDescent="0.3">
      <c r="C134" s="31">
        <v>4</v>
      </c>
      <c r="D134" t="s">
        <v>1920</v>
      </c>
      <c r="F134" s="24" t="s">
        <v>12</v>
      </c>
      <c r="G134" s="3"/>
      <c r="H134" s="3"/>
      <c r="I134" s="3"/>
    </row>
    <row r="135" spans="3:9" ht="15.7" customHeight="1" x14ac:dyDescent="0.3">
      <c r="C135" s="31">
        <v>5</v>
      </c>
      <c r="D135" t="s">
        <v>1921</v>
      </c>
      <c r="F135" s="24" t="s">
        <v>12</v>
      </c>
      <c r="G135" s="3"/>
      <c r="H135" s="3"/>
      <c r="I135" s="3"/>
    </row>
    <row r="136" spans="3:9" ht="15.7" customHeight="1" x14ac:dyDescent="0.3">
      <c r="C136" s="31">
        <v>6</v>
      </c>
      <c r="D136" t="s">
        <v>1922</v>
      </c>
      <c r="F136" s="24" t="s">
        <v>12</v>
      </c>
      <c r="G136" s="3"/>
      <c r="H136" s="3"/>
      <c r="I136" s="3"/>
    </row>
    <row r="137" spans="3:9" ht="15.7" customHeight="1" x14ac:dyDescent="0.3">
      <c r="C137" s="31">
        <v>7</v>
      </c>
      <c r="D137" t="s">
        <v>1923</v>
      </c>
      <c r="F137" s="24" t="s">
        <v>12</v>
      </c>
      <c r="G137" s="3"/>
      <c r="H137" s="3"/>
      <c r="I137" s="3"/>
    </row>
    <row r="138" spans="3:9" ht="15.7" customHeight="1" x14ac:dyDescent="0.3">
      <c r="C138" s="31">
        <v>8</v>
      </c>
      <c r="D138" t="s">
        <v>1924</v>
      </c>
      <c r="F138" s="24" t="s">
        <v>12</v>
      </c>
      <c r="G138" s="3"/>
      <c r="H138" s="3"/>
      <c r="I138" s="3"/>
    </row>
    <row r="139" spans="3:9" ht="15.7" customHeight="1" x14ac:dyDescent="0.3">
      <c r="C139" s="31">
        <v>9</v>
      </c>
      <c r="D139" t="s">
        <v>1925</v>
      </c>
      <c r="F139" s="24" t="s">
        <v>12</v>
      </c>
      <c r="G139" s="3"/>
      <c r="H139" s="3"/>
      <c r="I139" s="3"/>
    </row>
    <row r="140" spans="3:9" ht="15.7" customHeight="1" x14ac:dyDescent="0.3">
      <c r="C140" s="31">
        <v>10</v>
      </c>
      <c r="D140" t="s">
        <v>1926</v>
      </c>
      <c r="F140" s="24" t="s">
        <v>12</v>
      </c>
      <c r="G140" s="3"/>
      <c r="H140" s="3"/>
      <c r="I140" s="3"/>
    </row>
    <row r="141" spans="3:9" ht="15.7" customHeight="1" x14ac:dyDescent="0.3">
      <c r="C141" s="31">
        <v>11</v>
      </c>
      <c r="D141" t="s">
        <v>1927</v>
      </c>
      <c r="F141" s="24" t="s">
        <v>12</v>
      </c>
      <c r="G141" s="3"/>
      <c r="H141" s="3"/>
      <c r="I141" s="3"/>
    </row>
    <row r="142" spans="3:9" ht="15.7" customHeight="1" x14ac:dyDescent="0.3">
      <c r="C142" s="31">
        <v>12</v>
      </c>
      <c r="D142" t="s">
        <v>1928</v>
      </c>
      <c r="F142" s="24" t="s">
        <v>12</v>
      </c>
      <c r="G142" s="3"/>
      <c r="H142" s="3"/>
      <c r="I142" s="3"/>
    </row>
    <row r="143" spans="3:9" ht="15.7" customHeight="1" x14ac:dyDescent="0.3">
      <c r="C143" s="31">
        <v>13</v>
      </c>
      <c r="D143" t="s">
        <v>1929</v>
      </c>
      <c r="F143" s="24" t="s">
        <v>12</v>
      </c>
      <c r="G143" s="3"/>
      <c r="H143" s="3"/>
      <c r="I143" s="3"/>
    </row>
    <row r="144" spans="3:9" ht="15.7" customHeight="1" x14ac:dyDescent="0.3">
      <c r="C144" s="31">
        <v>14</v>
      </c>
      <c r="D144" t="s">
        <v>1930</v>
      </c>
      <c r="F144" s="24" t="s">
        <v>12</v>
      </c>
      <c r="G144" s="3"/>
      <c r="H144" s="3"/>
      <c r="I144" s="3"/>
    </row>
    <row r="145" spans="3:9" ht="15.7" customHeight="1" x14ac:dyDescent="0.3">
      <c r="C145" s="31">
        <v>15</v>
      </c>
      <c r="D145" t="s">
        <v>1931</v>
      </c>
      <c r="F145" s="24" t="s">
        <v>12</v>
      </c>
      <c r="G145" s="4"/>
      <c r="H145" s="3"/>
      <c r="I145" s="3"/>
    </row>
    <row r="146" spans="3:9" ht="15.7" customHeight="1" x14ac:dyDescent="0.3">
      <c r="C146" s="31">
        <v>16</v>
      </c>
      <c r="D146" t="s">
        <v>1932</v>
      </c>
      <c r="F146" s="24" t="s">
        <v>12</v>
      </c>
      <c r="G146" s="22"/>
      <c r="H146" s="22"/>
      <c r="I146" s="22"/>
    </row>
    <row r="147" spans="3:9" ht="15.7" customHeight="1" x14ac:dyDescent="0.3">
      <c r="C147" s="31">
        <v>17</v>
      </c>
      <c r="D147" t="s">
        <v>1933</v>
      </c>
      <c r="F147" s="24" t="s">
        <v>12</v>
      </c>
      <c r="G147" s="25"/>
      <c r="H147" s="25"/>
      <c r="I147" s="25"/>
    </row>
    <row r="148" spans="3:9" ht="15.7" customHeight="1" x14ac:dyDescent="0.3">
      <c r="C148" s="31">
        <v>18</v>
      </c>
      <c r="D148" t="s">
        <v>1934</v>
      </c>
      <c r="F148" s="24" t="s">
        <v>12</v>
      </c>
      <c r="G148" s="25"/>
      <c r="H148" s="25"/>
      <c r="I148" s="25"/>
    </row>
    <row r="149" spans="3:9" ht="15.7" customHeight="1" x14ac:dyDescent="0.3">
      <c r="C149" s="31">
        <v>19</v>
      </c>
      <c r="D149" t="s">
        <v>1935</v>
      </c>
      <c r="F149" s="24" t="s">
        <v>12</v>
      </c>
      <c r="G149" s="25"/>
      <c r="H149" s="25"/>
      <c r="I149" s="25"/>
    </row>
    <row r="150" spans="3:9" ht="15.7" customHeight="1" x14ac:dyDescent="0.3">
      <c r="C150" s="31">
        <v>20</v>
      </c>
      <c r="D150" t="s">
        <v>1936</v>
      </c>
      <c r="F150" s="24" t="s">
        <v>12</v>
      </c>
      <c r="G150" s="25"/>
      <c r="H150" s="25"/>
      <c r="I150" s="25"/>
    </row>
    <row r="151" spans="3:9" ht="15.7" customHeight="1" x14ac:dyDescent="0.3">
      <c r="C151" s="31">
        <v>21</v>
      </c>
      <c r="D151" t="s">
        <v>1937</v>
      </c>
      <c r="F151" s="24" t="s">
        <v>12</v>
      </c>
      <c r="G151" s="25"/>
      <c r="H151" s="25"/>
      <c r="I151" s="25"/>
    </row>
    <row r="152" spans="3:9" ht="15.7" customHeight="1" x14ac:dyDescent="0.3">
      <c r="C152" s="31">
        <v>22</v>
      </c>
      <c r="D152" t="s">
        <v>1938</v>
      </c>
      <c r="F152" s="24" t="s">
        <v>12</v>
      </c>
      <c r="G152" s="25"/>
      <c r="H152" s="25"/>
      <c r="I152" s="25"/>
    </row>
    <row r="153" spans="3:9" ht="15.7" customHeight="1" x14ac:dyDescent="0.3">
      <c r="C153" s="31">
        <v>23</v>
      </c>
      <c r="D153" t="s">
        <v>1939</v>
      </c>
      <c r="F153" s="24" t="s">
        <v>12</v>
      </c>
      <c r="G153" s="25"/>
      <c r="H153" s="25"/>
      <c r="I153" s="25"/>
    </row>
    <row r="154" spans="3:9" ht="15.7" customHeight="1" x14ac:dyDescent="0.3">
      <c r="C154" s="31">
        <v>24</v>
      </c>
      <c r="D154" t="s">
        <v>1940</v>
      </c>
      <c r="F154" s="24" t="s">
        <v>12</v>
      </c>
      <c r="G154" s="25"/>
      <c r="H154" s="25"/>
      <c r="I154" s="25"/>
    </row>
    <row r="155" spans="3:9" ht="15.7" customHeight="1" x14ac:dyDescent="0.3">
      <c r="C155" s="31">
        <v>25</v>
      </c>
      <c r="D155" t="s">
        <v>1941</v>
      </c>
      <c r="F155" s="24" t="s">
        <v>12</v>
      </c>
      <c r="G155" s="25"/>
      <c r="H155" s="25"/>
      <c r="I155" s="25"/>
    </row>
    <row r="156" spans="3:9" ht="15.7" customHeight="1" x14ac:dyDescent="0.3">
      <c r="C156" s="31">
        <v>26</v>
      </c>
      <c r="D156" t="s">
        <v>1942</v>
      </c>
      <c r="F156" s="24" t="s">
        <v>12</v>
      </c>
      <c r="G156" s="25"/>
      <c r="H156" s="25"/>
      <c r="I156" s="25"/>
    </row>
    <row r="157" spans="3:9" s="54" customFormat="1" ht="15.7" customHeight="1" x14ac:dyDescent="0.3">
      <c r="C157" s="31">
        <v>27</v>
      </c>
      <c r="D157" t="s">
        <v>1943</v>
      </c>
      <c r="F157" s="24" t="s">
        <v>12</v>
      </c>
      <c r="G157" s="25"/>
      <c r="H157" s="25"/>
      <c r="I157" s="25"/>
    </row>
    <row r="158" spans="3:9" s="54" customFormat="1" ht="15.7" customHeight="1" x14ac:dyDescent="0.3">
      <c r="C158" s="31">
        <v>28</v>
      </c>
      <c r="D158" t="s">
        <v>1944</v>
      </c>
      <c r="F158" s="24" t="s">
        <v>12</v>
      </c>
      <c r="G158" s="25"/>
      <c r="H158" s="25"/>
      <c r="I158" s="25"/>
    </row>
    <row r="159" spans="3:9" s="54" customFormat="1" ht="15.7" customHeight="1" x14ac:dyDescent="0.3">
      <c r="C159" s="31">
        <v>29</v>
      </c>
      <c r="D159" t="s">
        <v>1945</v>
      </c>
      <c r="F159" s="24" t="s">
        <v>12</v>
      </c>
      <c r="G159" s="25"/>
      <c r="H159" s="25"/>
      <c r="I159" s="25"/>
    </row>
    <row r="160" spans="3:9" s="54" customFormat="1" ht="15.7" customHeight="1" x14ac:dyDescent="0.3">
      <c r="C160" s="31">
        <v>30</v>
      </c>
      <c r="D160" t="s">
        <v>1946</v>
      </c>
      <c r="F160" s="24" t="s">
        <v>12</v>
      </c>
      <c r="G160" s="25"/>
      <c r="H160" s="25"/>
      <c r="I160" s="25"/>
    </row>
    <row r="161" spans="3:9" s="54" customFormat="1" ht="15.7" customHeight="1" x14ac:dyDescent="0.3">
      <c r="C161" s="31">
        <v>31</v>
      </c>
      <c r="D161" t="s">
        <v>1947</v>
      </c>
      <c r="F161" s="24" t="s">
        <v>12</v>
      </c>
      <c r="G161" s="25"/>
      <c r="H161" s="25"/>
      <c r="I161" s="25"/>
    </row>
    <row r="162" spans="3:9" s="54" customFormat="1" ht="15.7" customHeight="1" x14ac:dyDescent="0.3">
      <c r="C162" s="31">
        <v>32</v>
      </c>
      <c r="D162" t="s">
        <v>1948</v>
      </c>
      <c r="F162" s="24" t="s">
        <v>12</v>
      </c>
      <c r="G162" s="25"/>
      <c r="H162" s="25"/>
      <c r="I162" s="25"/>
    </row>
    <row r="163" spans="3:9" s="54" customFormat="1" ht="15.7" customHeight="1" x14ac:dyDescent="0.3">
      <c r="C163" s="31">
        <v>33</v>
      </c>
      <c r="D163" t="s">
        <v>1949</v>
      </c>
      <c r="F163" s="24" t="s">
        <v>12</v>
      </c>
      <c r="G163" s="25"/>
      <c r="H163" s="25"/>
      <c r="I163" s="25"/>
    </row>
    <row r="164" spans="3:9" s="54" customFormat="1" ht="15.7" customHeight="1" x14ac:dyDescent="0.3">
      <c r="C164" s="31">
        <v>34</v>
      </c>
      <c r="D164" t="s">
        <v>1950</v>
      </c>
      <c r="F164" s="24" t="s">
        <v>12</v>
      </c>
      <c r="G164" s="25"/>
      <c r="H164" s="25"/>
      <c r="I164" s="25"/>
    </row>
    <row r="165" spans="3:9" s="54" customFormat="1" ht="15.7" customHeight="1" x14ac:dyDescent="0.3">
      <c r="C165" s="31">
        <v>35</v>
      </c>
      <c r="D165" t="s">
        <v>1951</v>
      </c>
      <c r="F165" s="24" t="s">
        <v>12</v>
      </c>
      <c r="G165" s="25"/>
      <c r="H165" s="25"/>
      <c r="I165" s="25"/>
    </row>
    <row r="166" spans="3:9" s="54" customFormat="1" ht="15.7" customHeight="1" x14ac:dyDescent="0.3">
      <c r="C166" s="31">
        <v>36</v>
      </c>
      <c r="D166" t="s">
        <v>1952</v>
      </c>
      <c r="F166" s="24" t="s">
        <v>12</v>
      </c>
      <c r="G166" s="25"/>
      <c r="H166" s="25"/>
      <c r="I166" s="25"/>
    </row>
    <row r="167" spans="3:9" s="54" customFormat="1" ht="15.7" customHeight="1" x14ac:dyDescent="0.3">
      <c r="C167" s="31">
        <v>37</v>
      </c>
      <c r="D167" t="s">
        <v>1953</v>
      </c>
      <c r="F167" s="24" t="s">
        <v>12</v>
      </c>
      <c r="G167" s="25"/>
      <c r="H167" s="25"/>
      <c r="I167" s="25"/>
    </row>
    <row r="168" spans="3:9" s="54" customFormat="1" ht="15.7" customHeight="1" x14ac:dyDescent="0.3">
      <c r="C168" s="31">
        <v>38</v>
      </c>
      <c r="D168" t="s">
        <v>1954</v>
      </c>
      <c r="F168" s="24" t="s">
        <v>12</v>
      </c>
      <c r="G168" s="25"/>
      <c r="H168" s="25"/>
      <c r="I168" s="25"/>
    </row>
    <row r="169" spans="3:9" s="54" customFormat="1" ht="15.7" customHeight="1" x14ac:dyDescent="0.3">
      <c r="C169" s="31">
        <v>39</v>
      </c>
      <c r="D169" t="s">
        <v>1955</v>
      </c>
      <c r="F169" s="24" t="s">
        <v>12</v>
      </c>
      <c r="G169" s="25"/>
      <c r="H169" s="25"/>
      <c r="I169" s="25"/>
    </row>
    <row r="170" spans="3:9" s="54" customFormat="1" ht="15.7" customHeight="1" x14ac:dyDescent="0.3">
      <c r="C170" s="31">
        <v>40</v>
      </c>
      <c r="D170" t="s">
        <v>1956</v>
      </c>
      <c r="F170" s="24" t="s">
        <v>12</v>
      </c>
      <c r="G170" s="25"/>
      <c r="H170" s="25"/>
      <c r="I170" s="25"/>
    </row>
    <row r="171" spans="3:9" s="54" customFormat="1" ht="15.7" customHeight="1" x14ac:dyDescent="0.3">
      <c r="C171" s="31">
        <v>41</v>
      </c>
      <c r="D171" t="s">
        <v>1957</v>
      </c>
      <c r="F171" s="24" t="s">
        <v>12</v>
      </c>
      <c r="G171" s="25"/>
      <c r="H171" s="25"/>
      <c r="I171" s="25"/>
    </row>
    <row r="172" spans="3:9" s="54" customFormat="1" ht="15.7" customHeight="1" x14ac:dyDescent="0.3">
      <c r="C172" s="31">
        <v>42</v>
      </c>
      <c r="D172" t="s">
        <v>1958</v>
      </c>
      <c r="F172" s="24" t="s">
        <v>12</v>
      </c>
      <c r="G172" s="25"/>
      <c r="H172" s="25"/>
      <c r="I172" s="25"/>
    </row>
    <row r="173" spans="3:9" s="54" customFormat="1" ht="15.7" customHeight="1" x14ac:dyDescent="0.3">
      <c r="C173" s="31">
        <v>43</v>
      </c>
      <c r="D173" t="s">
        <v>1959</v>
      </c>
      <c r="F173" s="24" t="s">
        <v>12</v>
      </c>
      <c r="G173" s="25"/>
      <c r="H173" s="25"/>
      <c r="I173" s="25"/>
    </row>
    <row r="174" spans="3:9" s="54" customFormat="1" ht="15.7" customHeight="1" x14ac:dyDescent="0.3">
      <c r="C174" s="31">
        <v>44</v>
      </c>
      <c r="D174" t="s">
        <v>1960</v>
      </c>
      <c r="F174" s="24" t="s">
        <v>12</v>
      </c>
      <c r="G174" s="25"/>
      <c r="H174" s="25"/>
      <c r="I174" s="25"/>
    </row>
    <row r="175" spans="3:9" s="54" customFormat="1" ht="15.7" customHeight="1" x14ac:dyDescent="0.3">
      <c r="C175" s="31">
        <v>45</v>
      </c>
      <c r="D175" t="s">
        <v>1961</v>
      </c>
      <c r="F175" s="24" t="s">
        <v>12</v>
      </c>
      <c r="G175" s="25"/>
      <c r="H175" s="25"/>
      <c r="I175" s="25"/>
    </row>
    <row r="176" spans="3:9" s="54" customFormat="1" ht="15.7" customHeight="1" x14ac:dyDescent="0.3">
      <c r="C176" s="31">
        <v>46</v>
      </c>
      <c r="D176" t="s">
        <v>1962</v>
      </c>
      <c r="F176" s="24" t="s">
        <v>12</v>
      </c>
      <c r="G176" s="25"/>
      <c r="H176" s="25"/>
      <c r="I176" s="25"/>
    </row>
    <row r="177" spans="3:9" s="54" customFormat="1" ht="15.7" customHeight="1" x14ac:dyDescent="0.3">
      <c r="C177" s="31">
        <v>47</v>
      </c>
      <c r="D177" t="s">
        <v>1963</v>
      </c>
      <c r="F177" s="24" t="s">
        <v>12</v>
      </c>
      <c r="G177" s="25"/>
      <c r="H177" s="25"/>
      <c r="I177" s="25"/>
    </row>
    <row r="178" spans="3:9" s="54" customFormat="1" ht="15.7" customHeight="1" x14ac:dyDescent="0.3">
      <c r="C178" s="31">
        <v>48</v>
      </c>
      <c r="D178" t="s">
        <v>1964</v>
      </c>
      <c r="F178" s="24" t="s">
        <v>12</v>
      </c>
      <c r="G178" s="25"/>
      <c r="H178" s="25"/>
      <c r="I178" s="25"/>
    </row>
    <row r="179" spans="3:9" s="54" customFormat="1" ht="15.7" customHeight="1" x14ac:dyDescent="0.3">
      <c r="C179" s="31">
        <v>49</v>
      </c>
      <c r="D179" t="s">
        <v>1965</v>
      </c>
      <c r="F179" s="24" t="s">
        <v>12</v>
      </c>
      <c r="G179" s="25"/>
      <c r="H179" s="25"/>
      <c r="I179" s="25"/>
    </row>
    <row r="180" spans="3:9" s="54" customFormat="1" ht="15.7" customHeight="1" x14ac:dyDescent="0.3">
      <c r="C180" s="31">
        <v>50</v>
      </c>
      <c r="D180" t="s">
        <v>1966</v>
      </c>
      <c r="F180" s="24" t="s">
        <v>12</v>
      </c>
      <c r="G180" s="25"/>
      <c r="H180" s="25"/>
      <c r="I180" s="25"/>
    </row>
    <row r="181" spans="3:9" s="54" customFormat="1" ht="15.7" customHeight="1" x14ac:dyDescent="0.3">
      <c r="C181" s="31">
        <v>51</v>
      </c>
      <c r="D181" t="s">
        <v>1967</v>
      </c>
      <c r="F181" s="24" t="s">
        <v>12</v>
      </c>
      <c r="G181" s="25"/>
      <c r="H181" s="25"/>
      <c r="I181" s="25"/>
    </row>
    <row r="182" spans="3:9" s="54" customFormat="1" ht="15.7" customHeight="1" x14ac:dyDescent="0.3">
      <c r="C182" s="31">
        <v>52</v>
      </c>
      <c r="D182" t="s">
        <v>1968</v>
      </c>
      <c r="F182" s="24" t="s">
        <v>12</v>
      </c>
      <c r="G182" s="25"/>
      <c r="H182" s="25"/>
      <c r="I182" s="25"/>
    </row>
    <row r="183" spans="3:9" s="54" customFormat="1" ht="15.7" customHeight="1" x14ac:dyDescent="0.3">
      <c r="C183" s="31">
        <v>53</v>
      </c>
      <c r="D183" t="s">
        <v>1969</v>
      </c>
      <c r="F183" s="24" t="s">
        <v>12</v>
      </c>
      <c r="G183" s="25"/>
      <c r="H183" s="25"/>
      <c r="I183" s="25"/>
    </row>
    <row r="184" spans="3:9" s="54" customFormat="1" ht="15.7" customHeight="1" x14ac:dyDescent="0.3">
      <c r="C184" s="31">
        <v>54</v>
      </c>
      <c r="D184" t="s">
        <v>1970</v>
      </c>
      <c r="F184" s="24" t="s">
        <v>12</v>
      </c>
      <c r="G184" s="25"/>
      <c r="H184" s="25"/>
      <c r="I184" s="25"/>
    </row>
    <row r="185" spans="3:9" s="54" customFormat="1" ht="15.7" customHeight="1" x14ac:dyDescent="0.3">
      <c r="C185" s="31">
        <v>55</v>
      </c>
      <c r="D185" t="s">
        <v>1971</v>
      </c>
      <c r="F185" s="24" t="s">
        <v>12</v>
      </c>
      <c r="G185" s="25"/>
      <c r="H185" s="25"/>
      <c r="I185" s="25"/>
    </row>
    <row r="186" spans="3:9" s="54" customFormat="1" ht="15.7" customHeight="1" x14ac:dyDescent="0.3">
      <c r="C186" s="31">
        <v>56</v>
      </c>
      <c r="D186" t="s">
        <v>1972</v>
      </c>
      <c r="F186" s="24" t="s">
        <v>12</v>
      </c>
      <c r="G186" s="25"/>
      <c r="H186" s="25"/>
      <c r="I186" s="25"/>
    </row>
    <row r="187" spans="3:9" s="54" customFormat="1" ht="15.7" customHeight="1" x14ac:dyDescent="0.3">
      <c r="C187" s="31">
        <v>57</v>
      </c>
      <c r="D187" t="s">
        <v>1973</v>
      </c>
      <c r="F187" s="24" t="s">
        <v>12</v>
      </c>
      <c r="G187" s="25"/>
      <c r="H187" s="25"/>
      <c r="I187" s="25"/>
    </row>
    <row r="188" spans="3:9" s="54" customFormat="1" ht="15.7" customHeight="1" x14ac:dyDescent="0.3">
      <c r="C188" s="31">
        <v>58</v>
      </c>
      <c r="D188" t="s">
        <v>1974</v>
      </c>
      <c r="F188" s="24" t="s">
        <v>12</v>
      </c>
      <c r="G188" s="25"/>
      <c r="H188" s="25"/>
      <c r="I188" s="25"/>
    </row>
    <row r="189" spans="3:9" s="54" customFormat="1" ht="15.7" customHeight="1" x14ac:dyDescent="0.3">
      <c r="C189" s="31">
        <v>59</v>
      </c>
      <c r="D189" t="s">
        <v>1975</v>
      </c>
      <c r="F189" s="24" t="s">
        <v>12</v>
      </c>
      <c r="G189" s="25"/>
      <c r="H189" s="25"/>
      <c r="I189" s="25"/>
    </row>
    <row r="190" spans="3:9" s="54" customFormat="1" ht="15.7" customHeight="1" x14ac:dyDescent="0.3">
      <c r="C190" s="31">
        <v>60</v>
      </c>
      <c r="D190" t="s">
        <v>1976</v>
      </c>
      <c r="F190" s="24" t="s">
        <v>12</v>
      </c>
      <c r="G190" s="25"/>
      <c r="H190" s="25"/>
      <c r="I190" s="25"/>
    </row>
    <row r="191" spans="3:9" s="54" customFormat="1" ht="15.7" customHeight="1" x14ac:dyDescent="0.3">
      <c r="C191" s="31">
        <v>61</v>
      </c>
      <c r="D191" t="s">
        <v>1977</v>
      </c>
      <c r="F191" s="24" t="s">
        <v>12</v>
      </c>
      <c r="G191" s="25"/>
      <c r="H191" s="25"/>
      <c r="I191" s="25"/>
    </row>
    <row r="192" spans="3:9" s="54" customFormat="1" ht="15.7" customHeight="1" x14ac:dyDescent="0.3">
      <c r="C192" s="31">
        <v>62</v>
      </c>
      <c r="D192" t="s">
        <v>1978</v>
      </c>
      <c r="F192" s="24" t="s">
        <v>12</v>
      </c>
      <c r="G192" s="25"/>
      <c r="H192" s="25"/>
      <c r="I192" s="25"/>
    </row>
    <row r="193" spans="4:4" ht="15.7" customHeight="1" x14ac:dyDescent="0.3">
      <c r="D193" s="54"/>
    </row>
    <row r="194" spans="4:4" ht="15.7" customHeight="1" x14ac:dyDescent="0.3">
      <c r="D194" s="54"/>
    </row>
    <row r="195" spans="4:4" ht="15.7" customHeight="1" x14ac:dyDescent="0.3">
      <c r="D195" s="54"/>
    </row>
    <row r="196" spans="4:4" ht="15.7" customHeight="1" x14ac:dyDescent="0.3">
      <c r="D196" s="54"/>
    </row>
    <row r="197" spans="4:4" ht="15.7" customHeight="1" x14ac:dyDescent="0.3">
      <c r="D197" s="54"/>
    </row>
    <row r="198" spans="4:4" ht="15.7" customHeight="1" x14ac:dyDescent="0.3">
      <c r="D198" s="54"/>
    </row>
    <row r="199" spans="4:4" ht="15.7" customHeight="1" x14ac:dyDescent="0.3">
      <c r="D199" s="54"/>
    </row>
    <row r="200" spans="4:4" ht="15.7" customHeight="1" x14ac:dyDescent="0.3">
      <c r="D200" s="54"/>
    </row>
    <row r="201" spans="4:4" ht="15.7" customHeight="1" x14ac:dyDescent="0.3">
      <c r="D201" s="54"/>
    </row>
    <row r="202" spans="4:4" ht="15.7" customHeight="1" x14ac:dyDescent="0.3">
      <c r="D202" s="54"/>
    </row>
    <row r="203" spans="4:4" ht="15.7" customHeight="1" x14ac:dyDescent="0.3">
      <c r="D203" s="54"/>
    </row>
    <row r="204" spans="4:4" ht="15.7" customHeight="1" x14ac:dyDescent="0.3">
      <c r="D204" s="54"/>
    </row>
    <row r="205" spans="4:4" ht="15.7" customHeight="1" x14ac:dyDescent="0.3">
      <c r="D205" s="54"/>
    </row>
    <row r="206" spans="4:4" ht="15.7" customHeight="1" x14ac:dyDescent="0.3">
      <c r="D206" s="54"/>
    </row>
    <row r="207" spans="4:4" ht="15.7" customHeight="1" x14ac:dyDescent="0.3">
      <c r="D207" s="54"/>
    </row>
    <row r="208" spans="4:4" ht="15.7" customHeight="1" x14ac:dyDescent="0.3">
      <c r="D208" s="54"/>
    </row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  <row r="1066" ht="15.7" customHeight="1" x14ac:dyDescent="0.3"/>
    <row r="1067" ht="15.7" customHeight="1" x14ac:dyDescent="0.3"/>
    <row r="1068" ht="15.7" customHeight="1" x14ac:dyDescent="0.3"/>
    <row r="1069" ht="15.7" customHeight="1" x14ac:dyDescent="0.3"/>
    <row r="1070" ht="15.7" customHeight="1" x14ac:dyDescent="0.3"/>
    <row r="1071" ht="15.7" customHeight="1" x14ac:dyDescent="0.3"/>
    <row r="1072" ht="15.7" customHeight="1" x14ac:dyDescent="0.3"/>
    <row r="1073" ht="15.7" customHeight="1" x14ac:dyDescent="0.3"/>
    <row r="1074" ht="15.7" customHeight="1" x14ac:dyDescent="0.3"/>
    <row r="1075" ht="15.7" customHeight="1" x14ac:dyDescent="0.3"/>
    <row r="1076" ht="15.7" customHeight="1" x14ac:dyDescent="0.3"/>
    <row r="1077" ht="15.7" customHeight="1" x14ac:dyDescent="0.3"/>
    <row r="1078" ht="15.7" customHeight="1" x14ac:dyDescent="0.3"/>
    <row r="1079" ht="15.7" customHeight="1" x14ac:dyDescent="0.3"/>
    <row r="1080" ht="15.7" customHeight="1" x14ac:dyDescent="0.3"/>
    <row r="1081" ht="15.7" customHeight="1" x14ac:dyDescent="0.3"/>
    <row r="1082" ht="15.7" customHeight="1" x14ac:dyDescent="0.3"/>
    <row r="1083" ht="15.7" customHeight="1" x14ac:dyDescent="0.3"/>
    <row r="1084" ht="15.7" customHeight="1" x14ac:dyDescent="0.3"/>
    <row r="1085" ht="15.7" customHeight="1" x14ac:dyDescent="0.3"/>
    <row r="1086" ht="15.7" customHeight="1" x14ac:dyDescent="0.3"/>
    <row r="1087" ht="15.7" customHeight="1" x14ac:dyDescent="0.3"/>
    <row r="1088" ht="15.7" customHeight="1" x14ac:dyDescent="0.3"/>
    <row r="1089" ht="15.7" customHeight="1" x14ac:dyDescent="0.3"/>
    <row r="1090" ht="15.7" customHeight="1" x14ac:dyDescent="0.3"/>
    <row r="1091" ht="15.7" customHeight="1" x14ac:dyDescent="0.3"/>
    <row r="1092" ht="15.7" customHeight="1" x14ac:dyDescent="0.3"/>
    <row r="1093" ht="15.7" customHeight="1" x14ac:dyDescent="0.3"/>
    <row r="1094" ht="15.7" customHeight="1" x14ac:dyDescent="0.3"/>
    <row r="1095" ht="15.7" customHeight="1" x14ac:dyDescent="0.3"/>
    <row r="1096" ht="15.7" customHeight="1" x14ac:dyDescent="0.3"/>
    <row r="1097" ht="15.7" customHeight="1" x14ac:dyDescent="0.3"/>
    <row r="1098" ht="15.7" customHeight="1" x14ac:dyDescent="0.3"/>
    <row r="1099" ht="15.7" customHeight="1" x14ac:dyDescent="0.3"/>
    <row r="1100" ht="15.7" customHeight="1" x14ac:dyDescent="0.3"/>
    <row r="1101" ht="15.7" customHeight="1" x14ac:dyDescent="0.3"/>
    <row r="1102" ht="15.7" customHeight="1" x14ac:dyDescent="0.3"/>
    <row r="1103" ht="15.7" customHeight="1" x14ac:dyDescent="0.3"/>
    <row r="1104" ht="15.7" customHeight="1" x14ac:dyDescent="0.3"/>
    <row r="1105" ht="15.7" customHeight="1" x14ac:dyDescent="0.3"/>
    <row r="1106" ht="15.7" customHeight="1" x14ac:dyDescent="0.3"/>
    <row r="1107" ht="15.7" customHeight="1" x14ac:dyDescent="0.3"/>
    <row r="1108" ht="15.7" customHeight="1" x14ac:dyDescent="0.3"/>
    <row r="1109" ht="15.7" customHeight="1" x14ac:dyDescent="0.3"/>
    <row r="1110" ht="15.7" customHeight="1" x14ac:dyDescent="0.3"/>
    <row r="1111" ht="15.7" customHeight="1" x14ac:dyDescent="0.3"/>
    <row r="1112" ht="15.7" customHeight="1" x14ac:dyDescent="0.3"/>
    <row r="1113" ht="15.7" customHeight="1" x14ac:dyDescent="0.3"/>
    <row r="1114" ht="15.7" customHeight="1" x14ac:dyDescent="0.3"/>
  </sheetData>
  <mergeCells count="4">
    <mergeCell ref="B2:I2"/>
    <mergeCell ref="F8:H8"/>
    <mergeCell ref="C9:D9"/>
    <mergeCell ref="C130:D1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6337778862885"/>
  </sheetPr>
  <dimension ref="A1:I1041"/>
  <sheetViews>
    <sheetView topLeftCell="A136" zoomScale="85" zoomScaleNormal="85" workbookViewId="0">
      <selection activeCell="D146" sqref="D146"/>
    </sheetView>
  </sheetViews>
  <sheetFormatPr baseColWidth="10" defaultColWidth="14.3984375" defaultRowHeight="14.4" x14ac:dyDescent="0.3"/>
  <cols>
    <col min="1" max="1" width="5.296875" customWidth="1"/>
    <col min="2" max="2" width="12.8984375" customWidth="1"/>
    <col min="3" max="3" width="13.296875" customWidth="1"/>
    <col min="4" max="4" width="153.09765625" customWidth="1"/>
    <col min="5" max="5" width="5" customWidth="1"/>
    <col min="6" max="8" width="8" customWidth="1"/>
    <col min="9" max="9" width="60.59765625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0</v>
      </c>
      <c r="C2" s="69"/>
      <c r="D2" s="69"/>
      <c r="E2" s="69"/>
      <c r="F2" s="69"/>
      <c r="G2" s="69"/>
      <c r="H2" s="69"/>
      <c r="I2" s="70"/>
    </row>
    <row r="3" spans="2:9" x14ac:dyDescent="0.3">
      <c r="B3" s="18" t="s">
        <v>1</v>
      </c>
      <c r="C3" s="18" t="s">
        <v>2</v>
      </c>
      <c r="D3" s="19"/>
    </row>
    <row r="4" spans="2:9" x14ac:dyDescent="0.3">
      <c r="B4" s="18" t="s">
        <v>3</v>
      </c>
      <c r="C4" s="18" t="s">
        <v>4</v>
      </c>
      <c r="D4" s="19"/>
    </row>
    <row r="5" spans="2:9" x14ac:dyDescent="0.3">
      <c r="B5" s="18" t="s">
        <v>5</v>
      </c>
      <c r="C5" s="18" t="s">
        <v>6</v>
      </c>
      <c r="D5" s="19"/>
    </row>
    <row r="6" spans="2:9" x14ac:dyDescent="0.3">
      <c r="B6" s="18" t="s">
        <v>7</v>
      </c>
      <c r="C6" s="18" t="s">
        <v>8</v>
      </c>
      <c r="D6" s="19"/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74" t="s">
        <v>11</v>
      </c>
      <c r="D9" s="73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">
        <v>1</v>
      </c>
      <c r="D10" s="8" t="s">
        <v>117</v>
      </c>
      <c r="F10" s="24" t="s">
        <v>12</v>
      </c>
      <c r="G10" s="3"/>
      <c r="H10" s="3"/>
      <c r="I10" s="3"/>
    </row>
    <row r="11" spans="2:9" x14ac:dyDescent="0.3">
      <c r="C11" s="2">
        <v>2</v>
      </c>
      <c r="D11" t="s">
        <v>49</v>
      </c>
      <c r="F11" s="24" t="s">
        <v>13</v>
      </c>
      <c r="G11" s="3"/>
      <c r="H11" s="3"/>
      <c r="I11" s="3"/>
    </row>
    <row r="12" spans="2:9" x14ac:dyDescent="0.3">
      <c r="C12" s="2">
        <v>3</v>
      </c>
      <c r="D12" t="s">
        <v>50</v>
      </c>
      <c r="F12" s="24" t="s">
        <v>12</v>
      </c>
      <c r="G12" s="3"/>
      <c r="H12" s="3"/>
      <c r="I12" s="3"/>
    </row>
    <row r="13" spans="2:9" x14ac:dyDescent="0.3">
      <c r="C13" s="2">
        <v>4</v>
      </c>
      <c r="D13" t="s">
        <v>51</v>
      </c>
      <c r="F13" s="24" t="s">
        <v>13</v>
      </c>
      <c r="G13" s="3"/>
      <c r="H13" s="3"/>
      <c r="I13" s="3"/>
    </row>
    <row r="14" spans="2:9" x14ac:dyDescent="0.3">
      <c r="C14" s="2">
        <v>5</v>
      </c>
      <c r="D14" t="s">
        <v>52</v>
      </c>
      <c r="F14" s="24" t="s">
        <v>12</v>
      </c>
      <c r="G14" s="3"/>
      <c r="H14" s="3"/>
      <c r="I14" s="3"/>
    </row>
    <row r="15" spans="2:9" x14ac:dyDescent="0.3">
      <c r="C15" s="2">
        <v>6</v>
      </c>
      <c r="D15" t="s">
        <v>53</v>
      </c>
      <c r="F15" s="24" t="s">
        <v>13</v>
      </c>
      <c r="G15" s="3"/>
      <c r="H15" s="3"/>
      <c r="I15" s="3"/>
    </row>
    <row r="16" spans="2:9" x14ac:dyDescent="0.3">
      <c r="C16" s="2">
        <v>7</v>
      </c>
      <c r="D16" t="s">
        <v>54</v>
      </c>
      <c r="F16" s="24" t="s">
        <v>12</v>
      </c>
      <c r="G16" s="3"/>
      <c r="H16" s="3"/>
      <c r="I16" s="3"/>
    </row>
    <row r="17" spans="3:9" x14ac:dyDescent="0.3">
      <c r="C17" s="2">
        <v>8</v>
      </c>
      <c r="D17" t="s">
        <v>55</v>
      </c>
      <c r="F17" s="24" t="s">
        <v>13</v>
      </c>
      <c r="G17" s="3"/>
      <c r="H17" s="3"/>
      <c r="I17" s="3"/>
    </row>
    <row r="18" spans="3:9" x14ac:dyDescent="0.3">
      <c r="C18" s="2">
        <v>9</v>
      </c>
      <c r="D18" t="s">
        <v>56</v>
      </c>
      <c r="F18" s="24" t="s">
        <v>12</v>
      </c>
      <c r="G18" s="3"/>
      <c r="H18" s="3"/>
      <c r="I18" s="3"/>
    </row>
    <row r="19" spans="3:9" x14ac:dyDescent="0.3">
      <c r="C19" s="2">
        <v>10</v>
      </c>
      <c r="D19" t="s">
        <v>57</v>
      </c>
      <c r="F19" s="24" t="s">
        <v>13</v>
      </c>
      <c r="G19" s="3"/>
      <c r="H19" s="3"/>
      <c r="I19" s="3"/>
    </row>
    <row r="20" spans="3:9" x14ac:dyDescent="0.3">
      <c r="C20" s="2">
        <v>11</v>
      </c>
      <c r="D20" t="s">
        <v>58</v>
      </c>
      <c r="F20" s="24" t="s">
        <v>12</v>
      </c>
      <c r="G20" s="3"/>
      <c r="H20" s="3"/>
      <c r="I20" s="3"/>
    </row>
    <row r="21" spans="3:9" ht="15.7" customHeight="1" x14ac:dyDescent="0.3">
      <c r="C21" s="2">
        <v>12</v>
      </c>
      <c r="D21" t="s">
        <v>59</v>
      </c>
      <c r="F21" s="24" t="s">
        <v>13</v>
      </c>
      <c r="G21" s="3"/>
      <c r="H21" s="3"/>
      <c r="I21" s="3"/>
    </row>
    <row r="22" spans="3:9" ht="15.7" customHeight="1" x14ac:dyDescent="0.3">
      <c r="C22" s="2">
        <v>13</v>
      </c>
      <c r="D22" t="s">
        <v>60</v>
      </c>
      <c r="F22" s="24" t="s">
        <v>12</v>
      </c>
      <c r="G22" s="3"/>
      <c r="H22" s="3"/>
      <c r="I22" s="3"/>
    </row>
    <row r="23" spans="3:9" ht="15.7" customHeight="1" x14ac:dyDescent="0.3">
      <c r="C23" s="2">
        <v>14</v>
      </c>
      <c r="D23" t="s">
        <v>61</v>
      </c>
      <c r="F23" s="24" t="s">
        <v>13</v>
      </c>
      <c r="G23" s="3"/>
      <c r="H23" s="3"/>
      <c r="I23" s="3"/>
    </row>
    <row r="24" spans="3:9" ht="15.7" customHeight="1" x14ac:dyDescent="0.3">
      <c r="C24" s="2">
        <v>15</v>
      </c>
      <c r="D24" t="s">
        <v>62</v>
      </c>
      <c r="F24" s="24" t="s">
        <v>12</v>
      </c>
      <c r="G24" s="3"/>
      <c r="H24" s="3"/>
      <c r="I24" s="3"/>
    </row>
    <row r="25" spans="3:9" ht="15.7" customHeight="1" x14ac:dyDescent="0.3">
      <c r="C25" s="2">
        <v>16</v>
      </c>
      <c r="D25" t="s">
        <v>63</v>
      </c>
      <c r="F25" s="24" t="s">
        <v>13</v>
      </c>
      <c r="G25" s="3"/>
      <c r="H25" s="3"/>
      <c r="I25" s="3"/>
    </row>
    <row r="26" spans="3:9" ht="15.7" customHeight="1" x14ac:dyDescent="0.3">
      <c r="C26" s="2">
        <v>17</v>
      </c>
      <c r="D26" t="s">
        <v>64</v>
      </c>
      <c r="F26" s="24" t="s">
        <v>12</v>
      </c>
      <c r="G26" s="3"/>
      <c r="H26" s="3"/>
      <c r="I26" s="3"/>
    </row>
    <row r="27" spans="3:9" ht="15.7" customHeight="1" x14ac:dyDescent="0.3">
      <c r="C27" s="2">
        <v>18</v>
      </c>
      <c r="D27" t="s">
        <v>65</v>
      </c>
      <c r="F27" s="24" t="s">
        <v>13</v>
      </c>
      <c r="G27" s="3"/>
      <c r="H27" s="3"/>
      <c r="I27" s="3"/>
    </row>
    <row r="28" spans="3:9" ht="15.7" customHeight="1" x14ac:dyDescent="0.3">
      <c r="C28" s="2">
        <v>19</v>
      </c>
      <c r="D28" t="s">
        <v>66</v>
      </c>
      <c r="F28" s="24" t="s">
        <v>12</v>
      </c>
      <c r="G28" s="3"/>
      <c r="H28" s="3"/>
      <c r="I28" s="3"/>
    </row>
    <row r="29" spans="3:9" ht="15.7" customHeight="1" x14ac:dyDescent="0.3">
      <c r="C29" s="2">
        <v>20</v>
      </c>
      <c r="D29" t="s">
        <v>67</v>
      </c>
      <c r="F29" s="24" t="s">
        <v>13</v>
      </c>
      <c r="G29" s="3"/>
      <c r="H29" s="3"/>
      <c r="I29" s="3"/>
    </row>
    <row r="30" spans="3:9" ht="15.7" customHeight="1" x14ac:dyDescent="0.3">
      <c r="C30" s="2">
        <v>21</v>
      </c>
      <c r="D30" t="s">
        <v>68</v>
      </c>
      <c r="F30" s="24" t="s">
        <v>12</v>
      </c>
      <c r="G30" s="3"/>
      <c r="H30" s="3"/>
      <c r="I30" s="3"/>
    </row>
    <row r="31" spans="3:9" ht="15.7" customHeight="1" x14ac:dyDescent="0.3">
      <c r="C31" s="2">
        <v>22</v>
      </c>
      <c r="D31" t="s">
        <v>69</v>
      </c>
      <c r="F31" s="24" t="s">
        <v>13</v>
      </c>
      <c r="G31" s="3"/>
      <c r="H31" s="3"/>
      <c r="I31" s="3"/>
    </row>
    <row r="32" spans="3:9" ht="15.7" customHeight="1" x14ac:dyDescent="0.3">
      <c r="C32" s="2">
        <v>23</v>
      </c>
      <c r="D32" t="s">
        <v>70</v>
      </c>
      <c r="F32" s="24" t="s">
        <v>12</v>
      </c>
      <c r="G32" s="3"/>
      <c r="H32" s="3"/>
      <c r="I32" s="3"/>
    </row>
    <row r="33" spans="3:9" ht="15.7" customHeight="1" x14ac:dyDescent="0.3">
      <c r="C33" s="2">
        <v>24</v>
      </c>
      <c r="D33" t="s">
        <v>71</v>
      </c>
      <c r="F33" s="24" t="s">
        <v>13</v>
      </c>
      <c r="G33" s="3"/>
      <c r="H33" s="3"/>
      <c r="I33" s="3"/>
    </row>
    <row r="34" spans="3:9" ht="15.7" customHeight="1" x14ac:dyDescent="0.3">
      <c r="C34" s="2">
        <v>25</v>
      </c>
      <c r="D34" t="s">
        <v>72</v>
      </c>
      <c r="F34" s="24" t="s">
        <v>12</v>
      </c>
      <c r="G34" s="3"/>
      <c r="H34" s="3"/>
      <c r="I34" s="3"/>
    </row>
    <row r="35" spans="3:9" ht="15.7" customHeight="1" x14ac:dyDescent="0.3">
      <c r="C35" s="2">
        <v>26</v>
      </c>
      <c r="D35" t="s">
        <v>73</v>
      </c>
      <c r="F35" s="24" t="s">
        <v>13</v>
      </c>
      <c r="G35" s="3"/>
      <c r="H35" s="3"/>
      <c r="I35" s="3"/>
    </row>
    <row r="36" spans="3:9" ht="15.7" customHeight="1" x14ac:dyDescent="0.3">
      <c r="C36" s="2">
        <v>27</v>
      </c>
      <c r="D36" t="s">
        <v>74</v>
      </c>
      <c r="F36" s="24" t="s">
        <v>12</v>
      </c>
      <c r="G36" s="3"/>
      <c r="H36" s="3"/>
      <c r="I36" s="3"/>
    </row>
    <row r="37" spans="3:9" ht="15.7" customHeight="1" x14ac:dyDescent="0.3">
      <c r="C37" s="2">
        <v>28</v>
      </c>
      <c r="D37" t="s">
        <v>75</v>
      </c>
      <c r="F37" s="24" t="s">
        <v>13</v>
      </c>
      <c r="G37" s="3"/>
      <c r="H37" s="3"/>
      <c r="I37" s="3"/>
    </row>
    <row r="38" spans="3:9" ht="15.7" customHeight="1" x14ac:dyDescent="0.3">
      <c r="C38" s="2">
        <v>29</v>
      </c>
      <c r="D38" t="s">
        <v>76</v>
      </c>
      <c r="F38" s="24" t="s">
        <v>12</v>
      </c>
      <c r="G38" s="3"/>
      <c r="H38" s="3"/>
      <c r="I38" s="3"/>
    </row>
    <row r="39" spans="3:9" ht="15.7" customHeight="1" x14ac:dyDescent="0.3">
      <c r="C39" s="2">
        <v>30</v>
      </c>
      <c r="D39" t="s">
        <v>77</v>
      </c>
      <c r="F39" s="24" t="s">
        <v>13</v>
      </c>
      <c r="G39" s="3"/>
      <c r="H39" s="3"/>
      <c r="I39" s="3"/>
    </row>
    <row r="40" spans="3:9" ht="15.7" customHeight="1" x14ac:dyDescent="0.3">
      <c r="C40" s="2">
        <v>31</v>
      </c>
      <c r="D40" t="s">
        <v>78</v>
      </c>
      <c r="F40" s="24" t="s">
        <v>12</v>
      </c>
      <c r="G40" s="3"/>
      <c r="H40" s="3"/>
      <c r="I40" s="3"/>
    </row>
    <row r="41" spans="3:9" ht="15.7" customHeight="1" x14ac:dyDescent="0.3">
      <c r="C41" s="2">
        <v>32</v>
      </c>
      <c r="D41" t="s">
        <v>79</v>
      </c>
      <c r="F41" s="24" t="s">
        <v>13</v>
      </c>
      <c r="G41" s="3"/>
      <c r="H41" s="3"/>
      <c r="I41" s="3"/>
    </row>
    <row r="42" spans="3:9" x14ac:dyDescent="0.3">
      <c r="C42" s="2">
        <v>33</v>
      </c>
      <c r="D42" t="s">
        <v>80</v>
      </c>
      <c r="F42" s="24" t="s">
        <v>12</v>
      </c>
      <c r="G42" s="3"/>
      <c r="H42" s="3"/>
      <c r="I42" s="3"/>
    </row>
    <row r="43" spans="3:9" x14ac:dyDescent="0.3">
      <c r="C43" s="2">
        <v>34</v>
      </c>
      <c r="D43" t="s">
        <v>81</v>
      </c>
      <c r="F43" s="24" t="s">
        <v>13</v>
      </c>
      <c r="G43" s="3"/>
      <c r="H43" s="3"/>
      <c r="I43" s="3"/>
    </row>
    <row r="44" spans="3:9" ht="15.7" customHeight="1" x14ac:dyDescent="0.3">
      <c r="C44" s="2">
        <v>35</v>
      </c>
      <c r="D44" t="s">
        <v>82</v>
      </c>
      <c r="F44" s="24" t="s">
        <v>12</v>
      </c>
      <c r="G44" s="3"/>
      <c r="H44" s="3"/>
      <c r="I44" s="3"/>
    </row>
    <row r="45" spans="3:9" ht="15.7" customHeight="1" x14ac:dyDescent="0.3">
      <c r="C45" s="2">
        <v>36</v>
      </c>
      <c r="D45" t="s">
        <v>83</v>
      </c>
      <c r="F45" s="24" t="s">
        <v>13</v>
      </c>
      <c r="G45" s="3"/>
      <c r="H45" s="3"/>
      <c r="I45" s="3"/>
    </row>
    <row r="46" spans="3:9" ht="15.7" customHeight="1" x14ac:dyDescent="0.3">
      <c r="C46" s="2">
        <v>37</v>
      </c>
      <c r="D46" t="s">
        <v>84</v>
      </c>
      <c r="F46" s="24" t="s">
        <v>12</v>
      </c>
      <c r="G46" s="3"/>
      <c r="H46" s="3"/>
      <c r="I46" s="3"/>
    </row>
    <row r="47" spans="3:9" ht="15.7" customHeight="1" x14ac:dyDescent="0.3">
      <c r="C47" s="2">
        <v>38</v>
      </c>
      <c r="D47" t="s">
        <v>85</v>
      </c>
      <c r="F47" s="24" t="s">
        <v>13</v>
      </c>
      <c r="G47" s="3"/>
      <c r="H47" s="3"/>
      <c r="I47" s="3"/>
    </row>
    <row r="48" spans="3:9" ht="15.7" customHeight="1" x14ac:dyDescent="0.3">
      <c r="C48" s="2">
        <v>39</v>
      </c>
      <c r="D48" t="s">
        <v>86</v>
      </c>
      <c r="F48" s="24" t="s">
        <v>12</v>
      </c>
      <c r="G48" s="3"/>
      <c r="H48" s="3"/>
      <c r="I48" s="3"/>
    </row>
    <row r="49" spans="3:9" ht="15.7" customHeight="1" x14ac:dyDescent="0.3">
      <c r="C49" s="2">
        <v>40</v>
      </c>
      <c r="D49" t="s">
        <v>87</v>
      </c>
      <c r="F49" s="24" t="s">
        <v>13</v>
      </c>
      <c r="G49" s="3"/>
      <c r="H49" s="3"/>
      <c r="I49" s="3"/>
    </row>
    <row r="50" spans="3:9" ht="15.7" customHeight="1" x14ac:dyDescent="0.3">
      <c r="C50" s="2">
        <v>41</v>
      </c>
      <c r="D50" t="s">
        <v>88</v>
      </c>
      <c r="F50" s="24" t="s">
        <v>12</v>
      </c>
      <c r="G50" s="22"/>
      <c r="H50" s="22"/>
      <c r="I50" s="22"/>
    </row>
    <row r="51" spans="3:9" ht="15.7" customHeight="1" x14ac:dyDescent="0.3">
      <c r="C51" s="2">
        <v>42</v>
      </c>
      <c r="D51" t="s">
        <v>89</v>
      </c>
      <c r="F51" s="24" t="s">
        <v>13</v>
      </c>
      <c r="G51" s="19"/>
      <c r="H51" s="19"/>
      <c r="I51" s="19"/>
    </row>
    <row r="52" spans="3:9" ht="15.7" customHeight="1" x14ac:dyDescent="0.3">
      <c r="C52" s="2">
        <v>43</v>
      </c>
      <c r="D52" t="s">
        <v>90</v>
      </c>
      <c r="F52" s="24" t="s">
        <v>12</v>
      </c>
      <c r="G52" s="19"/>
      <c r="H52" s="19"/>
      <c r="I52" s="19"/>
    </row>
    <row r="53" spans="3:9" ht="15.7" customHeight="1" x14ac:dyDescent="0.3">
      <c r="C53" s="2">
        <v>44</v>
      </c>
      <c r="D53" t="s">
        <v>91</v>
      </c>
      <c r="F53" s="24" t="s">
        <v>13</v>
      </c>
      <c r="G53" s="19"/>
      <c r="H53" s="19"/>
      <c r="I53" s="19"/>
    </row>
    <row r="54" spans="3:9" ht="15.7" customHeight="1" x14ac:dyDescent="0.3">
      <c r="C54" s="2">
        <v>45</v>
      </c>
      <c r="D54" t="s">
        <v>92</v>
      </c>
      <c r="F54" s="24" t="s">
        <v>12</v>
      </c>
      <c r="G54" s="19"/>
      <c r="H54" s="19"/>
      <c r="I54" s="19"/>
    </row>
    <row r="55" spans="3:9" ht="15.7" customHeight="1" x14ac:dyDescent="0.3">
      <c r="C55" s="2">
        <v>46</v>
      </c>
      <c r="D55" t="s">
        <v>93</v>
      </c>
      <c r="F55" s="24" t="s">
        <v>13</v>
      </c>
      <c r="G55" s="19"/>
      <c r="H55" s="19"/>
      <c r="I55" s="19"/>
    </row>
    <row r="56" spans="3:9" ht="15.7" customHeight="1" x14ac:dyDescent="0.3">
      <c r="C56" s="2">
        <v>47</v>
      </c>
      <c r="D56" t="s">
        <v>94</v>
      </c>
      <c r="F56" s="24" t="s">
        <v>12</v>
      </c>
      <c r="G56" s="19"/>
      <c r="H56" s="19"/>
      <c r="I56" s="19"/>
    </row>
    <row r="57" spans="3:9" ht="15.7" customHeight="1" x14ac:dyDescent="0.3">
      <c r="C57" s="2">
        <v>48</v>
      </c>
      <c r="D57" t="s">
        <v>95</v>
      </c>
      <c r="F57" s="24" t="s">
        <v>13</v>
      </c>
      <c r="G57" s="19"/>
      <c r="H57" s="19"/>
      <c r="I57" s="19"/>
    </row>
    <row r="58" spans="3:9" ht="15.7" customHeight="1" x14ac:dyDescent="0.3">
      <c r="C58" s="2">
        <v>49</v>
      </c>
      <c r="D58" t="s">
        <v>96</v>
      </c>
      <c r="F58" s="24" t="s">
        <v>12</v>
      </c>
      <c r="G58" s="19"/>
      <c r="H58" s="19"/>
      <c r="I58" s="19"/>
    </row>
    <row r="59" spans="3:9" ht="15.7" customHeight="1" x14ac:dyDescent="0.3">
      <c r="C59" s="2">
        <v>50</v>
      </c>
      <c r="D59" t="s">
        <v>97</v>
      </c>
      <c r="F59" s="24" t="s">
        <v>13</v>
      </c>
      <c r="G59" s="19"/>
      <c r="H59" s="19"/>
      <c r="I59" s="19"/>
    </row>
    <row r="60" spans="3:9" ht="15.7" customHeight="1" x14ac:dyDescent="0.3">
      <c r="C60" s="2">
        <v>51</v>
      </c>
      <c r="D60" t="s">
        <v>98</v>
      </c>
      <c r="F60" s="24" t="s">
        <v>12</v>
      </c>
      <c r="G60" s="19"/>
      <c r="H60" s="19"/>
      <c r="I60" s="19"/>
    </row>
    <row r="61" spans="3:9" ht="15.7" customHeight="1" x14ac:dyDescent="0.3">
      <c r="C61" s="2">
        <v>52</v>
      </c>
      <c r="D61" t="s">
        <v>99</v>
      </c>
      <c r="F61" s="24" t="s">
        <v>13</v>
      </c>
      <c r="G61" s="19"/>
      <c r="H61" s="19"/>
      <c r="I61" s="19"/>
    </row>
    <row r="62" spans="3:9" ht="15.7" customHeight="1" x14ac:dyDescent="0.3">
      <c r="C62" s="2">
        <v>53</v>
      </c>
      <c r="D62" t="s">
        <v>100</v>
      </c>
      <c r="F62" s="24" t="s">
        <v>12</v>
      </c>
      <c r="G62" s="19"/>
      <c r="H62" s="19"/>
      <c r="I62" s="19"/>
    </row>
    <row r="63" spans="3:9" ht="15.7" customHeight="1" x14ac:dyDescent="0.3">
      <c r="C63" s="2">
        <v>54</v>
      </c>
      <c r="D63" t="s">
        <v>101</v>
      </c>
      <c r="F63" s="24" t="s">
        <v>13</v>
      </c>
      <c r="G63" s="19"/>
      <c r="H63" s="19"/>
      <c r="I63" s="19"/>
    </row>
    <row r="64" spans="3:9" ht="15.7" customHeight="1" x14ac:dyDescent="0.3">
      <c r="C64" s="2">
        <v>55</v>
      </c>
      <c r="D64" t="s">
        <v>102</v>
      </c>
      <c r="F64" s="24" t="s">
        <v>12</v>
      </c>
      <c r="G64" s="19"/>
      <c r="H64" s="19"/>
      <c r="I64" s="19"/>
    </row>
    <row r="65" spans="3:9" ht="15.7" customHeight="1" x14ac:dyDescent="0.3">
      <c r="C65" s="2">
        <v>56</v>
      </c>
      <c r="D65" t="s">
        <v>103</v>
      </c>
      <c r="F65" s="24" t="s">
        <v>13</v>
      </c>
      <c r="G65" s="19"/>
      <c r="H65" s="19"/>
      <c r="I65" s="19"/>
    </row>
    <row r="66" spans="3:9" ht="15.7" customHeight="1" x14ac:dyDescent="0.3">
      <c r="C66" s="2">
        <v>57</v>
      </c>
      <c r="D66" t="s">
        <v>104</v>
      </c>
      <c r="F66" s="24" t="s">
        <v>12</v>
      </c>
      <c r="G66" s="19"/>
      <c r="H66" s="19"/>
      <c r="I66" s="19"/>
    </row>
    <row r="67" spans="3:9" ht="15.7" customHeight="1" x14ac:dyDescent="0.3">
      <c r="C67" s="2">
        <v>58</v>
      </c>
      <c r="D67" t="s">
        <v>105</v>
      </c>
      <c r="F67" s="24" t="s">
        <v>13</v>
      </c>
      <c r="G67" s="19"/>
      <c r="H67" s="19"/>
      <c r="I67" s="19"/>
    </row>
    <row r="68" spans="3:9" ht="15.7" customHeight="1" x14ac:dyDescent="0.3">
      <c r="C68" s="2">
        <v>59</v>
      </c>
      <c r="D68" t="s">
        <v>106</v>
      </c>
      <c r="F68" s="24" t="s">
        <v>12</v>
      </c>
      <c r="G68" s="19"/>
      <c r="H68" s="19"/>
      <c r="I68" s="19"/>
    </row>
    <row r="69" spans="3:9" ht="15.7" customHeight="1" x14ac:dyDescent="0.3">
      <c r="C69" s="2">
        <v>60</v>
      </c>
      <c r="D69" t="s">
        <v>107</v>
      </c>
      <c r="F69" s="24" t="s">
        <v>13</v>
      </c>
      <c r="G69" s="19"/>
      <c r="H69" s="19"/>
      <c r="I69" s="19"/>
    </row>
    <row r="70" spans="3:9" ht="15.7" customHeight="1" x14ac:dyDescent="0.3">
      <c r="C70" s="2">
        <v>61</v>
      </c>
      <c r="D70" t="s">
        <v>108</v>
      </c>
      <c r="F70" s="24" t="s">
        <v>12</v>
      </c>
      <c r="G70" s="19"/>
      <c r="H70" s="19"/>
      <c r="I70" s="19"/>
    </row>
    <row r="71" spans="3:9" ht="15.7" customHeight="1" x14ac:dyDescent="0.3">
      <c r="C71" s="2">
        <v>62</v>
      </c>
      <c r="D71" t="s">
        <v>109</v>
      </c>
      <c r="F71" s="24" t="s">
        <v>13</v>
      </c>
      <c r="G71" s="19"/>
      <c r="H71" s="19"/>
      <c r="I71" s="19"/>
    </row>
    <row r="72" spans="3:9" ht="15.7" customHeight="1" x14ac:dyDescent="0.3">
      <c r="C72" s="2">
        <v>63</v>
      </c>
      <c r="D72" t="s">
        <v>110</v>
      </c>
      <c r="F72" s="24" t="s">
        <v>12</v>
      </c>
      <c r="G72" s="19"/>
      <c r="H72" s="19"/>
      <c r="I72" s="19"/>
    </row>
    <row r="73" spans="3:9" ht="15.7" customHeight="1" x14ac:dyDescent="0.3">
      <c r="C73" s="2">
        <v>64</v>
      </c>
      <c r="D73" t="s">
        <v>118</v>
      </c>
      <c r="F73" s="24" t="s">
        <v>13</v>
      </c>
      <c r="G73" s="19"/>
      <c r="H73" s="19"/>
      <c r="I73" s="19"/>
    </row>
    <row r="74" spans="3:9" ht="15.7" customHeight="1" x14ac:dyDescent="0.3">
      <c r="C74" s="2">
        <v>65</v>
      </c>
      <c r="D74" t="s">
        <v>111</v>
      </c>
      <c r="F74" s="24" t="s">
        <v>12</v>
      </c>
      <c r="G74" s="19"/>
      <c r="H74" s="19"/>
      <c r="I74" s="19"/>
    </row>
    <row r="75" spans="3:9" ht="15.7" customHeight="1" x14ac:dyDescent="0.3">
      <c r="C75" s="2">
        <v>66</v>
      </c>
      <c r="D75" t="s">
        <v>112</v>
      </c>
      <c r="F75" s="24" t="s">
        <v>13</v>
      </c>
      <c r="G75" s="19"/>
      <c r="H75" s="19"/>
      <c r="I75" s="19"/>
    </row>
    <row r="76" spans="3:9" ht="15.7" customHeight="1" x14ac:dyDescent="0.3">
      <c r="C76" s="2">
        <v>67</v>
      </c>
      <c r="D76" t="s">
        <v>113</v>
      </c>
      <c r="F76" s="24" t="s">
        <v>12</v>
      </c>
      <c r="G76" s="19"/>
      <c r="H76" s="19"/>
      <c r="I76" s="19"/>
    </row>
    <row r="77" spans="3:9" ht="15.7" customHeight="1" x14ac:dyDescent="0.3">
      <c r="C77" s="2">
        <v>68</v>
      </c>
      <c r="D77" t="s">
        <v>114</v>
      </c>
      <c r="F77" s="24" t="s">
        <v>13</v>
      </c>
      <c r="G77" s="19"/>
      <c r="H77" s="19"/>
      <c r="I77" s="19"/>
    </row>
    <row r="78" spans="3:9" ht="15.7" customHeight="1" x14ac:dyDescent="0.3">
      <c r="C78" s="2">
        <v>69</v>
      </c>
      <c r="D78" t="s">
        <v>115</v>
      </c>
      <c r="F78" s="24" t="s">
        <v>12</v>
      </c>
      <c r="G78" s="19"/>
      <c r="H78" s="19"/>
      <c r="I78" s="19"/>
    </row>
    <row r="79" spans="3:9" ht="15.7" customHeight="1" x14ac:dyDescent="0.3">
      <c r="C79" s="2">
        <v>70</v>
      </c>
      <c r="D79" t="s">
        <v>116</v>
      </c>
      <c r="F79" s="24" t="s">
        <v>13</v>
      </c>
      <c r="G79" s="19"/>
      <c r="H79" s="19"/>
      <c r="I79" s="19"/>
    </row>
    <row r="80" spans="3:9" ht="15.7" customHeight="1" x14ac:dyDescent="0.3"/>
    <row r="81" spans="3:9" ht="15.7" customHeight="1" x14ac:dyDescent="0.3"/>
    <row r="82" spans="3:9" ht="15.7" customHeight="1" x14ac:dyDescent="0.3">
      <c r="C82" s="74" t="s">
        <v>14</v>
      </c>
      <c r="D82" s="75"/>
      <c r="F82" s="9" t="s">
        <v>1</v>
      </c>
      <c r="G82" s="9" t="s">
        <v>3</v>
      </c>
      <c r="H82" s="9" t="s">
        <v>5</v>
      </c>
      <c r="I82" s="6" t="s">
        <v>10</v>
      </c>
    </row>
    <row r="83" spans="3:9" ht="15.7" customHeight="1" x14ac:dyDescent="0.3">
      <c r="C83" s="31">
        <v>1</v>
      </c>
      <c r="D83" s="19" t="s">
        <v>172</v>
      </c>
      <c r="F83" s="24" t="s">
        <v>12</v>
      </c>
      <c r="G83" s="3"/>
      <c r="H83" s="3"/>
      <c r="I83" s="3"/>
    </row>
    <row r="84" spans="3:9" ht="15.7" customHeight="1" x14ac:dyDescent="0.3">
      <c r="C84" s="31">
        <v>2</v>
      </c>
      <c r="D84" s="19" t="s">
        <v>119</v>
      </c>
      <c r="F84" s="24" t="s">
        <v>12</v>
      </c>
      <c r="G84" s="3"/>
      <c r="H84" s="3"/>
      <c r="I84" s="3"/>
    </row>
    <row r="85" spans="3:9" ht="15.7" customHeight="1" x14ac:dyDescent="0.3">
      <c r="C85" s="31">
        <v>3</v>
      </c>
      <c r="D85" s="19" t="s">
        <v>120</v>
      </c>
      <c r="F85" s="24" t="s">
        <v>12</v>
      </c>
      <c r="G85" s="3"/>
      <c r="H85" s="3"/>
      <c r="I85" s="3"/>
    </row>
    <row r="86" spans="3:9" ht="15.7" customHeight="1" x14ac:dyDescent="0.3">
      <c r="C86" s="31">
        <v>4</v>
      </c>
      <c r="D86" s="19" t="s">
        <v>121</v>
      </c>
      <c r="F86" s="24" t="s">
        <v>12</v>
      </c>
      <c r="G86" s="3"/>
      <c r="H86" s="3"/>
      <c r="I86" s="3"/>
    </row>
    <row r="87" spans="3:9" ht="15.7" customHeight="1" x14ac:dyDescent="0.3">
      <c r="C87" s="31">
        <v>5</v>
      </c>
      <c r="D87" s="19" t="s">
        <v>173</v>
      </c>
      <c r="F87" s="24" t="s">
        <v>12</v>
      </c>
      <c r="G87" s="3"/>
      <c r="H87" s="3"/>
      <c r="I87" s="3"/>
    </row>
    <row r="88" spans="3:9" ht="15.7" customHeight="1" x14ac:dyDescent="0.3">
      <c r="C88" s="31">
        <v>6</v>
      </c>
      <c r="D88" s="19" t="s">
        <v>122</v>
      </c>
      <c r="F88" s="24" t="s">
        <v>12</v>
      </c>
      <c r="G88" s="3"/>
      <c r="H88" s="3"/>
      <c r="I88" s="3"/>
    </row>
    <row r="89" spans="3:9" ht="15.7" customHeight="1" x14ac:dyDescent="0.3">
      <c r="C89" s="31">
        <v>7</v>
      </c>
      <c r="D89" s="19" t="s">
        <v>123</v>
      </c>
      <c r="F89" s="24" t="s">
        <v>12</v>
      </c>
      <c r="G89" s="3"/>
      <c r="H89" s="3"/>
      <c r="I89" s="3"/>
    </row>
    <row r="90" spans="3:9" ht="15.7" customHeight="1" x14ac:dyDescent="0.3">
      <c r="C90" s="31">
        <v>8</v>
      </c>
      <c r="D90" s="19" t="s">
        <v>124</v>
      </c>
      <c r="F90" s="24" t="s">
        <v>12</v>
      </c>
      <c r="G90" s="3"/>
      <c r="H90" s="3"/>
      <c r="I90" s="3"/>
    </row>
    <row r="91" spans="3:9" ht="15.7" customHeight="1" x14ac:dyDescent="0.3">
      <c r="C91" s="31">
        <v>9</v>
      </c>
      <c r="D91" s="19" t="s">
        <v>125</v>
      </c>
      <c r="F91" s="24" t="s">
        <v>12</v>
      </c>
      <c r="G91" s="3"/>
      <c r="H91" s="3"/>
      <c r="I91" s="3"/>
    </row>
    <row r="92" spans="3:9" ht="15.7" customHeight="1" x14ac:dyDescent="0.3">
      <c r="C92" s="31">
        <v>10</v>
      </c>
      <c r="D92" s="19" t="s">
        <v>126</v>
      </c>
      <c r="F92" s="24" t="s">
        <v>12</v>
      </c>
      <c r="G92" s="3"/>
      <c r="H92" s="3"/>
      <c r="I92" s="3"/>
    </row>
    <row r="93" spans="3:9" ht="15.7" customHeight="1" x14ac:dyDescent="0.3">
      <c r="C93" s="31">
        <v>11</v>
      </c>
      <c r="D93" s="19" t="s">
        <v>127</v>
      </c>
      <c r="F93" s="24" t="s">
        <v>12</v>
      </c>
      <c r="G93" s="3"/>
      <c r="H93" s="3"/>
      <c r="I93" s="3"/>
    </row>
    <row r="94" spans="3:9" ht="15.7" customHeight="1" x14ac:dyDescent="0.3">
      <c r="C94" s="31">
        <v>12</v>
      </c>
      <c r="D94" s="19" t="s">
        <v>128</v>
      </c>
      <c r="F94" s="24" t="s">
        <v>12</v>
      </c>
      <c r="G94" s="3"/>
      <c r="H94" s="3"/>
      <c r="I94" s="3"/>
    </row>
    <row r="95" spans="3:9" ht="15.7" customHeight="1" x14ac:dyDescent="0.3">
      <c r="C95" s="31">
        <v>13</v>
      </c>
      <c r="D95" s="19" t="s">
        <v>129</v>
      </c>
      <c r="F95" s="24" t="s">
        <v>12</v>
      </c>
      <c r="G95" s="3"/>
      <c r="H95" s="3"/>
      <c r="I95" s="3"/>
    </row>
    <row r="96" spans="3:9" ht="15.7" customHeight="1" x14ac:dyDescent="0.3">
      <c r="C96" s="31">
        <v>14</v>
      </c>
      <c r="D96" s="19" t="s">
        <v>130</v>
      </c>
      <c r="F96" s="24" t="s">
        <v>12</v>
      </c>
      <c r="G96" s="3"/>
      <c r="H96" s="3"/>
      <c r="I96" s="3"/>
    </row>
    <row r="97" spans="3:9" ht="15.7" customHeight="1" x14ac:dyDescent="0.3">
      <c r="C97" s="31">
        <v>15</v>
      </c>
      <c r="D97" s="19" t="s">
        <v>131</v>
      </c>
      <c r="F97" s="24" t="s">
        <v>12</v>
      </c>
      <c r="G97" s="4"/>
      <c r="H97" s="3"/>
      <c r="I97" s="3"/>
    </row>
    <row r="98" spans="3:9" ht="15.7" customHeight="1" x14ac:dyDescent="0.3">
      <c r="C98" s="31">
        <v>16</v>
      </c>
      <c r="D98" s="19" t="s">
        <v>132</v>
      </c>
      <c r="F98" s="24" t="s">
        <v>12</v>
      </c>
      <c r="G98" s="22"/>
      <c r="H98" s="22"/>
      <c r="I98" s="22"/>
    </row>
    <row r="99" spans="3:9" ht="15.7" customHeight="1" x14ac:dyDescent="0.3">
      <c r="C99" s="31">
        <v>17</v>
      </c>
      <c r="D99" s="19" t="s">
        <v>133</v>
      </c>
      <c r="F99" s="24" t="s">
        <v>12</v>
      </c>
      <c r="G99" s="25"/>
      <c r="H99" s="25"/>
      <c r="I99" s="25"/>
    </row>
    <row r="100" spans="3:9" ht="15.7" customHeight="1" x14ac:dyDescent="0.3">
      <c r="C100" s="31">
        <v>18</v>
      </c>
      <c r="D100" s="19" t="s">
        <v>134</v>
      </c>
      <c r="F100" s="24" t="s">
        <v>12</v>
      </c>
      <c r="G100" s="25"/>
      <c r="H100" s="25"/>
      <c r="I100" s="25"/>
    </row>
    <row r="101" spans="3:9" ht="15.7" customHeight="1" x14ac:dyDescent="0.3">
      <c r="C101" s="31">
        <v>19</v>
      </c>
      <c r="D101" s="19" t="s">
        <v>135</v>
      </c>
      <c r="F101" s="24" t="s">
        <v>12</v>
      </c>
      <c r="G101" s="25"/>
      <c r="H101" s="25"/>
      <c r="I101" s="25"/>
    </row>
    <row r="102" spans="3:9" ht="15.7" customHeight="1" x14ac:dyDescent="0.3">
      <c r="C102" s="31">
        <v>20</v>
      </c>
      <c r="D102" s="19" t="s">
        <v>136</v>
      </c>
      <c r="F102" s="24" t="s">
        <v>12</v>
      </c>
      <c r="G102" s="25"/>
      <c r="H102" s="25"/>
      <c r="I102" s="25"/>
    </row>
    <row r="103" spans="3:9" ht="15.7" customHeight="1" x14ac:dyDescent="0.3">
      <c r="C103" s="31">
        <v>21</v>
      </c>
      <c r="D103" s="19" t="s">
        <v>137</v>
      </c>
      <c r="F103" s="24" t="s">
        <v>12</v>
      </c>
      <c r="G103" s="25"/>
      <c r="H103" s="25"/>
      <c r="I103" s="25"/>
    </row>
    <row r="104" spans="3:9" ht="15.7" customHeight="1" x14ac:dyDescent="0.3">
      <c r="C104" s="31">
        <v>22</v>
      </c>
      <c r="D104" s="19" t="s">
        <v>174</v>
      </c>
      <c r="F104" s="24" t="s">
        <v>12</v>
      </c>
      <c r="G104" s="25"/>
      <c r="H104" s="25"/>
      <c r="I104" s="25"/>
    </row>
    <row r="105" spans="3:9" ht="15.7" customHeight="1" x14ac:dyDescent="0.3">
      <c r="C105" s="31">
        <v>23</v>
      </c>
      <c r="D105" s="19" t="s">
        <v>138</v>
      </c>
      <c r="F105" s="24" t="s">
        <v>12</v>
      </c>
      <c r="G105" s="25"/>
      <c r="H105" s="25"/>
      <c r="I105" s="25"/>
    </row>
    <row r="106" spans="3:9" ht="15.7" customHeight="1" x14ac:dyDescent="0.3">
      <c r="C106" s="31">
        <v>24</v>
      </c>
      <c r="D106" s="19" t="s">
        <v>139</v>
      </c>
      <c r="F106" s="24" t="s">
        <v>12</v>
      </c>
      <c r="G106" s="25"/>
      <c r="H106" s="25"/>
      <c r="I106" s="25"/>
    </row>
    <row r="107" spans="3:9" ht="15.7" customHeight="1" x14ac:dyDescent="0.3">
      <c r="C107" s="31">
        <v>25</v>
      </c>
      <c r="D107" s="19" t="s">
        <v>175</v>
      </c>
      <c r="F107" s="24" t="s">
        <v>12</v>
      </c>
      <c r="G107" s="25"/>
      <c r="H107" s="25"/>
      <c r="I107" s="25"/>
    </row>
    <row r="108" spans="3:9" ht="15.7" customHeight="1" x14ac:dyDescent="0.3">
      <c r="C108" s="31">
        <v>26</v>
      </c>
      <c r="D108" s="19" t="s">
        <v>140</v>
      </c>
      <c r="F108" s="24" t="s">
        <v>12</v>
      </c>
      <c r="G108" s="25"/>
      <c r="H108" s="25"/>
      <c r="I108" s="25"/>
    </row>
    <row r="109" spans="3:9" ht="15.7" customHeight="1" x14ac:dyDescent="0.3">
      <c r="C109" s="31">
        <v>27</v>
      </c>
      <c r="D109" s="19" t="s">
        <v>141</v>
      </c>
      <c r="F109" s="24" t="s">
        <v>12</v>
      </c>
      <c r="G109" s="25"/>
      <c r="H109" s="25"/>
      <c r="I109" s="25"/>
    </row>
    <row r="110" spans="3:9" ht="15.7" customHeight="1" x14ac:dyDescent="0.3">
      <c r="C110" s="31">
        <v>28</v>
      </c>
      <c r="D110" s="19" t="s">
        <v>142</v>
      </c>
      <c r="F110" s="24" t="s">
        <v>12</v>
      </c>
      <c r="G110" s="25"/>
      <c r="H110" s="25"/>
      <c r="I110" s="25"/>
    </row>
    <row r="111" spans="3:9" ht="15.7" customHeight="1" x14ac:dyDescent="0.3">
      <c r="C111" s="31">
        <v>29</v>
      </c>
      <c r="D111" s="19" t="s">
        <v>143</v>
      </c>
      <c r="F111" s="24" t="s">
        <v>12</v>
      </c>
      <c r="G111" s="25"/>
      <c r="H111" s="25"/>
      <c r="I111" s="25"/>
    </row>
    <row r="112" spans="3:9" ht="15.7" customHeight="1" x14ac:dyDescent="0.3">
      <c r="C112" s="31">
        <v>30</v>
      </c>
      <c r="D112" s="19" t="s">
        <v>144</v>
      </c>
      <c r="F112" s="24" t="s">
        <v>12</v>
      </c>
      <c r="G112" s="25"/>
      <c r="H112" s="25"/>
      <c r="I112" s="25"/>
    </row>
    <row r="113" spans="1:9" ht="15.7" customHeight="1" x14ac:dyDescent="0.3">
      <c r="C113" s="31">
        <v>31</v>
      </c>
      <c r="D113" s="19" t="s">
        <v>145</v>
      </c>
      <c r="F113" s="24" t="s">
        <v>12</v>
      </c>
      <c r="G113" s="25"/>
      <c r="H113" s="25"/>
      <c r="I113" s="25"/>
    </row>
    <row r="114" spans="1:9" ht="15.7" customHeight="1" x14ac:dyDescent="0.3">
      <c r="C114" s="31">
        <v>32</v>
      </c>
      <c r="D114" s="19" t="s">
        <v>146</v>
      </c>
      <c r="F114" s="24" t="s">
        <v>12</v>
      </c>
      <c r="G114" s="25"/>
      <c r="H114" s="25"/>
      <c r="I114" s="25"/>
    </row>
    <row r="115" spans="1:9" ht="15.7" customHeight="1" x14ac:dyDescent="0.3">
      <c r="C115" s="31">
        <v>33</v>
      </c>
      <c r="D115" s="19" t="s">
        <v>147</v>
      </c>
      <c r="F115" s="24" t="s">
        <v>12</v>
      </c>
      <c r="G115" s="25"/>
      <c r="H115" s="25"/>
      <c r="I115" s="25"/>
    </row>
    <row r="116" spans="1:9" ht="15.7" customHeight="1" x14ac:dyDescent="0.3">
      <c r="C116" s="31">
        <v>34</v>
      </c>
      <c r="D116" s="19" t="s">
        <v>148</v>
      </c>
      <c r="F116" s="24" t="s">
        <v>12</v>
      </c>
      <c r="G116" s="25"/>
      <c r="H116" s="25"/>
      <c r="I116" s="25"/>
    </row>
    <row r="117" spans="1:9" ht="15.7" customHeight="1" x14ac:dyDescent="0.3">
      <c r="C117" s="31">
        <v>35</v>
      </c>
      <c r="D117" s="19" t="s">
        <v>149</v>
      </c>
      <c r="F117" s="24" t="s">
        <v>12</v>
      </c>
      <c r="G117" s="25"/>
      <c r="H117" s="25"/>
      <c r="I117" s="25"/>
    </row>
    <row r="118" spans="1:9" ht="15.7" customHeight="1" x14ac:dyDescent="0.3">
      <c r="C118" s="31">
        <v>36</v>
      </c>
      <c r="D118" s="19" t="s">
        <v>150</v>
      </c>
      <c r="F118" s="24" t="s">
        <v>12</v>
      </c>
      <c r="G118" s="25"/>
      <c r="H118" s="25"/>
      <c r="I118" s="25"/>
    </row>
    <row r="119" spans="1:9" ht="15.7" customHeight="1" x14ac:dyDescent="0.3">
      <c r="C119" s="31">
        <v>37</v>
      </c>
      <c r="D119" s="19" t="s">
        <v>151</v>
      </c>
      <c r="F119" s="24" t="s">
        <v>12</v>
      </c>
      <c r="G119" s="25"/>
      <c r="H119" s="25"/>
      <c r="I119" s="25"/>
    </row>
    <row r="120" spans="1:9" ht="15.7" customHeight="1" x14ac:dyDescent="0.3">
      <c r="C120" s="31">
        <v>38</v>
      </c>
      <c r="D120" s="19" t="s">
        <v>176</v>
      </c>
      <c r="F120" s="24" t="s">
        <v>12</v>
      </c>
      <c r="G120" s="25"/>
      <c r="H120" s="25"/>
      <c r="I120" s="25"/>
    </row>
    <row r="121" spans="1:9" ht="15.7" customHeight="1" x14ac:dyDescent="0.3">
      <c r="C121" s="31">
        <v>39</v>
      </c>
      <c r="D121" s="19" t="s">
        <v>177</v>
      </c>
      <c r="F121" s="24" t="s">
        <v>12</v>
      </c>
      <c r="G121" s="25"/>
      <c r="H121" s="25"/>
      <c r="I121" s="25"/>
    </row>
    <row r="122" spans="1:9" ht="15.7" customHeight="1" x14ac:dyDescent="0.3">
      <c r="A122" s="53" t="s">
        <v>16</v>
      </c>
      <c r="C122" s="31">
        <v>40</v>
      </c>
      <c r="D122" s="19" t="s">
        <v>178</v>
      </c>
      <c r="F122" s="24" t="s">
        <v>12</v>
      </c>
      <c r="G122" s="25"/>
      <c r="H122" s="25"/>
      <c r="I122" s="25"/>
    </row>
    <row r="123" spans="1:9" ht="15.7" customHeight="1" x14ac:dyDescent="0.3">
      <c r="C123" s="31">
        <v>41</v>
      </c>
      <c r="D123" s="19" t="s">
        <v>152</v>
      </c>
      <c r="F123" s="24" t="s">
        <v>12</v>
      </c>
      <c r="G123" s="25"/>
      <c r="H123" s="25"/>
      <c r="I123" s="25"/>
    </row>
    <row r="124" spans="1:9" ht="15.7" customHeight="1" x14ac:dyDescent="0.3">
      <c r="C124" s="31">
        <v>42</v>
      </c>
      <c r="D124" s="19" t="s">
        <v>153</v>
      </c>
      <c r="F124" s="24" t="s">
        <v>12</v>
      </c>
      <c r="G124" s="25"/>
      <c r="H124" s="25"/>
      <c r="I124" s="25"/>
    </row>
    <row r="125" spans="1:9" ht="15.7" customHeight="1" x14ac:dyDescent="0.3">
      <c r="C125" s="31">
        <v>43</v>
      </c>
      <c r="D125" s="19" t="s">
        <v>154</v>
      </c>
      <c r="F125" s="24" t="s">
        <v>12</v>
      </c>
      <c r="G125" s="25"/>
      <c r="H125" s="25"/>
      <c r="I125" s="25"/>
    </row>
    <row r="126" spans="1:9" ht="15.7" customHeight="1" x14ac:dyDescent="0.3">
      <c r="C126" s="31">
        <v>44</v>
      </c>
      <c r="D126" s="19" t="s">
        <v>155</v>
      </c>
      <c r="F126" s="24" t="s">
        <v>12</v>
      </c>
      <c r="G126" s="25"/>
      <c r="H126" s="25"/>
      <c r="I126" s="25"/>
    </row>
    <row r="127" spans="1:9" ht="15.7" customHeight="1" x14ac:dyDescent="0.3">
      <c r="C127" s="31">
        <v>45</v>
      </c>
      <c r="D127" s="19" t="s">
        <v>156</v>
      </c>
      <c r="F127" s="24" t="s">
        <v>12</v>
      </c>
      <c r="G127" s="25"/>
      <c r="H127" s="25"/>
      <c r="I127" s="25"/>
    </row>
    <row r="128" spans="1:9" ht="15.7" customHeight="1" x14ac:dyDescent="0.3">
      <c r="C128" s="31">
        <v>46</v>
      </c>
      <c r="D128" s="19" t="s">
        <v>157</v>
      </c>
      <c r="F128" s="24" t="s">
        <v>12</v>
      </c>
      <c r="G128" s="25"/>
      <c r="H128" s="25"/>
      <c r="I128" s="25"/>
    </row>
    <row r="129" spans="3:9" ht="15.7" customHeight="1" x14ac:dyDescent="0.3">
      <c r="C129" s="31">
        <v>47</v>
      </c>
      <c r="D129" s="19" t="s">
        <v>158</v>
      </c>
      <c r="F129" s="24" t="s">
        <v>12</v>
      </c>
      <c r="G129" s="25"/>
      <c r="H129" s="25"/>
      <c r="I129" s="25"/>
    </row>
    <row r="130" spans="3:9" ht="15.7" customHeight="1" x14ac:dyDescent="0.3">
      <c r="C130" s="31">
        <v>48</v>
      </c>
      <c r="D130" s="19" t="s">
        <v>159</v>
      </c>
      <c r="F130" s="24" t="s">
        <v>12</v>
      </c>
      <c r="G130" s="25"/>
      <c r="H130" s="25"/>
      <c r="I130" s="25"/>
    </row>
    <row r="131" spans="3:9" ht="15.7" customHeight="1" x14ac:dyDescent="0.3">
      <c r="C131" s="31">
        <v>49</v>
      </c>
      <c r="D131" s="19" t="s">
        <v>160</v>
      </c>
      <c r="F131" s="24" t="s">
        <v>12</v>
      </c>
      <c r="G131" s="25"/>
      <c r="H131" s="25"/>
      <c r="I131" s="25"/>
    </row>
    <row r="132" spans="3:9" ht="15.7" customHeight="1" x14ac:dyDescent="0.3">
      <c r="C132" s="31">
        <v>50</v>
      </c>
      <c r="D132" s="19" t="s">
        <v>161</v>
      </c>
      <c r="F132" s="24" t="s">
        <v>12</v>
      </c>
      <c r="G132" s="25"/>
      <c r="H132" s="25"/>
      <c r="I132" s="25"/>
    </row>
    <row r="133" spans="3:9" ht="15.7" customHeight="1" x14ac:dyDescent="0.3">
      <c r="C133" s="31">
        <v>51</v>
      </c>
      <c r="D133" s="19" t="s">
        <v>162</v>
      </c>
      <c r="F133" s="24" t="s">
        <v>12</v>
      </c>
      <c r="G133" s="25"/>
      <c r="H133" s="25"/>
      <c r="I133" s="25"/>
    </row>
    <row r="134" spans="3:9" ht="15.7" customHeight="1" x14ac:dyDescent="0.3">
      <c r="C134" s="31">
        <v>52</v>
      </c>
      <c r="D134" s="19" t="s">
        <v>163</v>
      </c>
      <c r="F134" s="24" t="s">
        <v>12</v>
      </c>
      <c r="G134" s="25"/>
      <c r="H134" s="25"/>
      <c r="I134" s="25"/>
    </row>
    <row r="135" spans="3:9" ht="15.7" customHeight="1" x14ac:dyDescent="0.3">
      <c r="C135" s="31">
        <v>53</v>
      </c>
      <c r="D135" s="19" t="s">
        <v>164</v>
      </c>
      <c r="F135" s="24" t="s">
        <v>12</v>
      </c>
      <c r="G135" s="25"/>
      <c r="H135" s="25"/>
      <c r="I135" s="25"/>
    </row>
    <row r="136" spans="3:9" ht="15.7" customHeight="1" x14ac:dyDescent="0.3">
      <c r="C136" s="31">
        <v>54</v>
      </c>
      <c r="D136" s="19" t="s">
        <v>165</v>
      </c>
      <c r="F136" s="24" t="s">
        <v>12</v>
      </c>
      <c r="G136" s="25"/>
      <c r="H136" s="25"/>
      <c r="I136" s="25"/>
    </row>
    <row r="137" spans="3:9" ht="15.7" customHeight="1" x14ac:dyDescent="0.3">
      <c r="C137" s="31">
        <v>55</v>
      </c>
      <c r="D137" s="19" t="s">
        <v>166</v>
      </c>
      <c r="F137" s="24" t="s">
        <v>12</v>
      </c>
      <c r="G137" s="25"/>
      <c r="H137" s="25"/>
      <c r="I137" s="25"/>
    </row>
    <row r="138" spans="3:9" ht="15.7" customHeight="1" x14ac:dyDescent="0.3">
      <c r="C138" s="31">
        <v>56</v>
      </c>
      <c r="D138" s="19" t="s">
        <v>167</v>
      </c>
      <c r="F138" s="24" t="s">
        <v>12</v>
      </c>
      <c r="G138" s="25"/>
      <c r="H138" s="25"/>
      <c r="I138" s="25"/>
    </row>
    <row r="139" spans="3:9" ht="15.7" customHeight="1" x14ac:dyDescent="0.3">
      <c r="C139" s="31">
        <v>57</v>
      </c>
      <c r="D139" s="19" t="s">
        <v>168</v>
      </c>
      <c r="F139" s="24" t="s">
        <v>12</v>
      </c>
      <c r="G139" s="25"/>
      <c r="H139" s="25"/>
      <c r="I139" s="25"/>
    </row>
    <row r="140" spans="3:9" ht="15.7" customHeight="1" x14ac:dyDescent="0.3">
      <c r="C140" s="31">
        <v>58</v>
      </c>
      <c r="D140" s="19" t="s">
        <v>169</v>
      </c>
      <c r="F140" s="24" t="s">
        <v>12</v>
      </c>
      <c r="G140" s="25"/>
      <c r="H140" s="25"/>
      <c r="I140" s="25"/>
    </row>
    <row r="141" spans="3:9" ht="15.7" customHeight="1" x14ac:dyDescent="0.3">
      <c r="C141" s="31">
        <v>59</v>
      </c>
      <c r="D141" s="19" t="s">
        <v>179</v>
      </c>
      <c r="F141" s="24" t="s">
        <v>12</v>
      </c>
      <c r="G141" s="25"/>
      <c r="H141" s="25"/>
      <c r="I141" s="25"/>
    </row>
    <row r="142" spans="3:9" ht="15.7" customHeight="1" x14ac:dyDescent="0.3">
      <c r="C142" s="31">
        <v>60</v>
      </c>
      <c r="D142" s="19" t="s">
        <v>170</v>
      </c>
      <c r="F142" s="24" t="s">
        <v>12</v>
      </c>
      <c r="G142" s="25"/>
      <c r="H142" s="25"/>
      <c r="I142" s="25"/>
    </row>
    <row r="143" spans="3:9" ht="15.7" customHeight="1" x14ac:dyDescent="0.3">
      <c r="C143" s="31">
        <v>61</v>
      </c>
      <c r="D143" s="19" t="s">
        <v>171</v>
      </c>
      <c r="F143" s="24" t="s">
        <v>12</v>
      </c>
      <c r="G143" s="25"/>
      <c r="H143" s="25"/>
      <c r="I143" s="25"/>
    </row>
    <row r="144" spans="3:9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</sheetData>
  <mergeCells count="4">
    <mergeCell ref="B2:I2"/>
    <mergeCell ref="F8:H8"/>
    <mergeCell ref="C9:D9"/>
    <mergeCell ref="C82:D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0412-625B-49B7-AD27-0591258A20F1}">
  <sheetPr>
    <tabColor theme="8" tint="0.79995117038483843"/>
  </sheetPr>
  <dimension ref="B1:I809"/>
  <sheetViews>
    <sheetView topLeftCell="A88" workbookViewId="0">
      <selection activeCell="I116" sqref="I116"/>
    </sheetView>
  </sheetViews>
  <sheetFormatPr baseColWidth="10" defaultColWidth="14.3984375" defaultRowHeight="14.4" x14ac:dyDescent="0.3"/>
  <cols>
    <col min="1" max="1" width="6.3984375" customWidth="1"/>
    <col min="2" max="2" width="10.69921875" customWidth="1"/>
    <col min="3" max="3" width="11.3984375" customWidth="1"/>
    <col min="4" max="4" width="152.69921875" customWidth="1"/>
    <col min="5" max="5" width="5.3984375" customWidth="1"/>
    <col min="6" max="6" width="21.59765625" customWidth="1"/>
    <col min="7" max="8" width="10.69921875" customWidth="1"/>
    <col min="9" max="9" width="29.69921875" customWidth="1"/>
    <col min="10" max="26" width="10.69921875" customWidth="1"/>
  </cols>
  <sheetData>
    <row r="1" spans="2:9" x14ac:dyDescent="0.3">
      <c r="D1" s="46" t="str">
        <f>HYPERLINK("#'Paginación'!A1","Volver")</f>
        <v>Volver</v>
      </c>
    </row>
    <row r="2" spans="2:9" ht="15.55" x14ac:dyDescent="0.3">
      <c r="B2" s="79" t="s">
        <v>15</v>
      </c>
      <c r="C2" s="78"/>
      <c r="D2" s="78"/>
      <c r="E2" s="78"/>
      <c r="F2" s="78"/>
      <c r="G2" s="78"/>
      <c r="H2" s="78"/>
      <c r="I2" s="80"/>
    </row>
    <row r="3" spans="2:9" ht="16.149999999999999" x14ac:dyDescent="0.35">
      <c r="B3" s="10" t="s">
        <v>1</v>
      </c>
      <c r="C3" s="81" t="s">
        <v>2</v>
      </c>
      <c r="D3" s="82"/>
      <c r="E3" s="1"/>
      <c r="F3" s="1"/>
      <c r="G3" s="1"/>
      <c r="H3" s="1"/>
      <c r="I3" s="11"/>
    </row>
    <row r="4" spans="2:9" ht="16.149999999999999" x14ac:dyDescent="0.35">
      <c r="B4" s="10" t="s">
        <v>3</v>
      </c>
      <c r="C4" s="81" t="s">
        <v>4</v>
      </c>
      <c r="D4" s="82"/>
      <c r="E4" s="1"/>
      <c r="F4" s="1"/>
      <c r="G4" s="1"/>
      <c r="H4" s="1"/>
      <c r="I4" s="11"/>
    </row>
    <row r="5" spans="2:9" ht="16.149999999999999" x14ac:dyDescent="0.35">
      <c r="B5" s="10" t="s">
        <v>5</v>
      </c>
      <c r="C5" s="81" t="s">
        <v>6</v>
      </c>
      <c r="D5" s="82"/>
      <c r="E5" s="1"/>
      <c r="F5" s="1"/>
      <c r="G5" s="1"/>
      <c r="H5" s="1"/>
      <c r="I5" s="11"/>
    </row>
    <row r="6" spans="2:9" ht="16.149999999999999" x14ac:dyDescent="0.35">
      <c r="B6" s="83" t="s">
        <v>7</v>
      </c>
      <c r="C6" s="84"/>
      <c r="D6" s="12" t="s">
        <v>8</v>
      </c>
      <c r="E6" s="13"/>
      <c r="F6" s="13"/>
      <c r="G6" s="13"/>
      <c r="H6" s="13"/>
      <c r="I6" s="14"/>
    </row>
    <row r="9" spans="2:9" x14ac:dyDescent="0.3">
      <c r="B9" s="77" t="s">
        <v>11</v>
      </c>
      <c r="C9" s="78"/>
      <c r="D9" s="75"/>
      <c r="F9" s="26" t="s">
        <v>1</v>
      </c>
      <c r="G9" s="26" t="s">
        <v>3</v>
      </c>
      <c r="H9" s="26" t="s">
        <v>5</v>
      </c>
      <c r="I9" s="26" t="s">
        <v>10</v>
      </c>
    </row>
    <row r="10" spans="2:9" ht="15.7" customHeight="1" x14ac:dyDescent="0.3">
      <c r="B10" s="76">
        <v>1</v>
      </c>
      <c r="C10" s="76"/>
      <c r="D10" s="19" t="s">
        <v>180</v>
      </c>
      <c r="F10" s="28" t="s">
        <v>12</v>
      </c>
      <c r="G10" s="19"/>
      <c r="H10" s="19"/>
      <c r="I10" s="19"/>
    </row>
    <row r="11" spans="2:9" ht="15.7" customHeight="1" x14ac:dyDescent="0.3">
      <c r="B11" s="76">
        <v>2</v>
      </c>
      <c r="C11" s="76"/>
      <c r="D11" s="19" t="s">
        <v>181</v>
      </c>
      <c r="F11" s="28" t="s">
        <v>12</v>
      </c>
      <c r="G11" s="19"/>
      <c r="H11" s="19"/>
      <c r="I11" s="19"/>
    </row>
    <row r="12" spans="2:9" ht="15.7" customHeight="1" x14ac:dyDescent="0.3">
      <c r="B12" s="76">
        <v>3</v>
      </c>
      <c r="C12" s="76"/>
      <c r="D12" s="19" t="s">
        <v>182</v>
      </c>
      <c r="F12" s="28" t="s">
        <v>12</v>
      </c>
      <c r="G12" s="19"/>
      <c r="H12" s="19"/>
      <c r="I12" s="19"/>
    </row>
    <row r="13" spans="2:9" ht="15.7" customHeight="1" x14ac:dyDescent="0.3">
      <c r="B13" s="76">
        <v>4</v>
      </c>
      <c r="C13" s="76"/>
      <c r="D13" s="19" t="s">
        <v>183</v>
      </c>
      <c r="F13" s="28" t="s">
        <v>12</v>
      </c>
      <c r="G13" s="19"/>
      <c r="H13" s="19"/>
      <c r="I13" s="19"/>
    </row>
    <row r="14" spans="2:9" ht="15.7" customHeight="1" x14ac:dyDescent="0.3">
      <c r="B14" s="76">
        <v>5</v>
      </c>
      <c r="C14" s="76"/>
      <c r="D14" s="19" t="s">
        <v>184</v>
      </c>
      <c r="F14" s="28" t="s">
        <v>12</v>
      </c>
      <c r="G14" s="19"/>
      <c r="H14" s="19"/>
      <c r="I14" s="19"/>
    </row>
    <row r="15" spans="2:9" ht="15.7" customHeight="1" x14ac:dyDescent="0.3">
      <c r="B15" s="76">
        <v>6</v>
      </c>
      <c r="C15" s="76"/>
      <c r="D15" s="19" t="s">
        <v>185</v>
      </c>
      <c r="F15" s="28" t="s">
        <v>12</v>
      </c>
      <c r="G15" s="19"/>
      <c r="H15" s="19"/>
      <c r="I15" s="19"/>
    </row>
    <row r="16" spans="2:9" ht="15.7" customHeight="1" x14ac:dyDescent="0.3">
      <c r="B16" s="76">
        <v>7</v>
      </c>
      <c r="C16" s="76"/>
      <c r="D16" s="19" t="s">
        <v>186</v>
      </c>
      <c r="F16" s="28" t="s">
        <v>12</v>
      </c>
      <c r="G16" s="19"/>
      <c r="H16" s="19"/>
      <c r="I16" s="19"/>
    </row>
    <row r="17" spans="2:9" ht="15.7" customHeight="1" x14ac:dyDescent="0.3">
      <c r="B17" s="76">
        <v>8</v>
      </c>
      <c r="C17" s="76"/>
      <c r="D17" s="19" t="s">
        <v>187</v>
      </c>
      <c r="F17" s="28" t="s">
        <v>12</v>
      </c>
      <c r="G17" s="19"/>
      <c r="H17" s="19"/>
      <c r="I17" s="19"/>
    </row>
    <row r="18" spans="2:9" ht="15.7" customHeight="1" x14ac:dyDescent="0.3">
      <c r="B18" s="76">
        <v>9</v>
      </c>
      <c r="C18" s="76"/>
      <c r="D18" s="19" t="s">
        <v>188</v>
      </c>
      <c r="F18" s="28" t="s">
        <v>12</v>
      </c>
      <c r="G18" s="19"/>
      <c r="H18" s="19"/>
      <c r="I18" s="19"/>
    </row>
    <row r="19" spans="2:9" ht="15.7" customHeight="1" x14ac:dyDescent="0.3">
      <c r="B19" s="76">
        <v>10</v>
      </c>
      <c r="C19" s="76"/>
      <c r="D19" s="19" t="s">
        <v>189</v>
      </c>
      <c r="F19" s="28" t="s">
        <v>12</v>
      </c>
      <c r="G19" s="19"/>
      <c r="H19" s="19"/>
      <c r="I19" s="19"/>
    </row>
    <row r="20" spans="2:9" ht="15.7" customHeight="1" x14ac:dyDescent="0.3">
      <c r="B20" s="76">
        <v>11</v>
      </c>
      <c r="C20" s="76"/>
      <c r="D20" s="19" t="s">
        <v>190</v>
      </c>
      <c r="F20" s="28" t="s">
        <v>12</v>
      </c>
      <c r="G20" s="19"/>
      <c r="H20" s="19"/>
      <c r="I20" s="19"/>
    </row>
    <row r="21" spans="2:9" ht="15.7" customHeight="1" x14ac:dyDescent="0.3">
      <c r="B21" s="76">
        <v>12</v>
      </c>
      <c r="C21" s="76"/>
      <c r="D21" s="19" t="s">
        <v>191</v>
      </c>
      <c r="F21" s="28" t="s">
        <v>12</v>
      </c>
      <c r="G21" s="19"/>
      <c r="H21" s="19"/>
      <c r="I21" s="19"/>
    </row>
    <row r="22" spans="2:9" ht="15.7" customHeight="1" x14ac:dyDescent="0.3">
      <c r="B22" s="76">
        <v>13</v>
      </c>
      <c r="C22" s="76"/>
      <c r="D22" s="19" t="s">
        <v>192</v>
      </c>
      <c r="F22" s="28" t="s">
        <v>12</v>
      </c>
      <c r="G22" s="19"/>
      <c r="H22" s="19"/>
      <c r="I22" s="19"/>
    </row>
    <row r="23" spans="2:9" ht="15.7" customHeight="1" x14ac:dyDescent="0.3">
      <c r="B23" s="76">
        <v>14</v>
      </c>
      <c r="C23" s="76"/>
      <c r="D23" s="19" t="s">
        <v>193</v>
      </c>
      <c r="F23" s="28" t="s">
        <v>12</v>
      </c>
      <c r="G23" s="19"/>
      <c r="H23" s="19"/>
      <c r="I23" s="19"/>
    </row>
    <row r="24" spans="2:9" ht="15.7" customHeight="1" x14ac:dyDescent="0.3">
      <c r="B24" s="76">
        <v>15</v>
      </c>
      <c r="C24" s="76"/>
      <c r="D24" s="19" t="s">
        <v>194</v>
      </c>
      <c r="F24" s="28" t="s">
        <v>12</v>
      </c>
      <c r="G24" s="19"/>
      <c r="H24" s="19"/>
      <c r="I24" s="19"/>
    </row>
    <row r="25" spans="2:9" ht="15.7" customHeight="1" x14ac:dyDescent="0.3">
      <c r="B25" s="76">
        <v>16</v>
      </c>
      <c r="C25" s="76"/>
      <c r="D25" s="19" t="s">
        <v>195</v>
      </c>
      <c r="F25" s="28" t="s">
        <v>12</v>
      </c>
      <c r="G25" s="19"/>
      <c r="H25" s="19"/>
      <c r="I25" s="19"/>
    </row>
    <row r="26" spans="2:9" ht="15.7" customHeight="1" x14ac:dyDescent="0.3">
      <c r="B26" s="76">
        <v>17</v>
      </c>
      <c r="C26" s="76"/>
      <c r="D26" s="19" t="s">
        <v>196</v>
      </c>
      <c r="F26" s="28" t="s">
        <v>12</v>
      </c>
      <c r="G26" s="19"/>
      <c r="H26" s="19"/>
      <c r="I26" s="19"/>
    </row>
    <row r="27" spans="2:9" ht="15.7" customHeight="1" x14ac:dyDescent="0.3">
      <c r="B27" s="76">
        <v>18</v>
      </c>
      <c r="C27" s="76"/>
      <c r="D27" s="19" t="s">
        <v>221</v>
      </c>
      <c r="F27" s="28" t="s">
        <v>12</v>
      </c>
      <c r="G27" s="19"/>
      <c r="H27" s="19"/>
      <c r="I27" s="19"/>
    </row>
    <row r="28" spans="2:9" ht="15.7" customHeight="1" x14ac:dyDescent="0.3">
      <c r="B28" s="76">
        <v>19</v>
      </c>
      <c r="C28" s="76"/>
      <c r="D28" s="19" t="s">
        <v>222</v>
      </c>
      <c r="F28" s="28" t="s">
        <v>12</v>
      </c>
      <c r="G28" s="19"/>
      <c r="H28" s="19"/>
      <c r="I28" s="19"/>
    </row>
    <row r="29" spans="2:9" ht="15.7" customHeight="1" x14ac:dyDescent="0.3">
      <c r="B29" s="76">
        <v>20</v>
      </c>
      <c r="C29" s="76"/>
      <c r="D29" s="19" t="s">
        <v>197</v>
      </c>
      <c r="F29" s="28" t="s">
        <v>12</v>
      </c>
      <c r="G29" s="19"/>
      <c r="H29" s="19"/>
      <c r="I29" s="19"/>
    </row>
    <row r="30" spans="2:9" ht="15.7" customHeight="1" x14ac:dyDescent="0.3">
      <c r="B30" s="76">
        <v>21</v>
      </c>
      <c r="C30" s="76"/>
      <c r="D30" s="19" t="s">
        <v>198</v>
      </c>
      <c r="F30" s="28" t="s">
        <v>12</v>
      </c>
      <c r="G30" s="19"/>
      <c r="H30" s="19"/>
      <c r="I30" s="19"/>
    </row>
    <row r="31" spans="2:9" ht="15.7" customHeight="1" x14ac:dyDescent="0.3">
      <c r="B31" s="76">
        <v>22</v>
      </c>
      <c r="C31" s="76"/>
      <c r="D31" s="19" t="s">
        <v>199</v>
      </c>
      <c r="F31" s="28" t="s">
        <v>12</v>
      </c>
      <c r="G31" s="19"/>
      <c r="H31" s="19"/>
      <c r="I31" s="19"/>
    </row>
    <row r="32" spans="2:9" ht="15.7" customHeight="1" x14ac:dyDescent="0.3">
      <c r="B32" s="76">
        <v>23</v>
      </c>
      <c r="C32" s="76"/>
      <c r="D32" s="19" t="s">
        <v>200</v>
      </c>
      <c r="F32" s="28" t="s">
        <v>12</v>
      </c>
      <c r="G32" s="19"/>
      <c r="H32" s="19"/>
      <c r="I32" s="19"/>
    </row>
    <row r="33" spans="2:9" ht="15.7" customHeight="1" x14ac:dyDescent="0.3">
      <c r="B33" s="76">
        <v>24</v>
      </c>
      <c r="C33" s="76"/>
      <c r="D33" s="19" t="s">
        <v>201</v>
      </c>
      <c r="F33" s="28" t="s">
        <v>12</v>
      </c>
      <c r="G33" s="19"/>
      <c r="H33" s="19"/>
      <c r="I33" s="19"/>
    </row>
    <row r="34" spans="2:9" ht="15.7" customHeight="1" x14ac:dyDescent="0.3">
      <c r="B34" s="76">
        <v>25</v>
      </c>
      <c r="C34" s="76"/>
      <c r="D34" s="19" t="s">
        <v>223</v>
      </c>
      <c r="F34" s="28" t="s">
        <v>12</v>
      </c>
      <c r="G34" s="19"/>
      <c r="H34" s="19"/>
      <c r="I34" s="19"/>
    </row>
    <row r="35" spans="2:9" ht="15.7" customHeight="1" x14ac:dyDescent="0.3">
      <c r="B35" s="76">
        <v>26</v>
      </c>
      <c r="C35" s="76"/>
      <c r="D35" s="19" t="s">
        <v>202</v>
      </c>
      <c r="F35" s="28" t="s">
        <v>12</v>
      </c>
      <c r="G35" s="19"/>
      <c r="H35" s="19"/>
      <c r="I35" s="19"/>
    </row>
    <row r="36" spans="2:9" ht="15.7" customHeight="1" x14ac:dyDescent="0.3">
      <c r="B36" s="76">
        <v>27</v>
      </c>
      <c r="C36" s="76"/>
      <c r="D36" s="19" t="s">
        <v>203</v>
      </c>
      <c r="F36" s="28" t="s">
        <v>12</v>
      </c>
      <c r="G36" s="19"/>
      <c r="H36" s="19"/>
      <c r="I36" s="19"/>
    </row>
    <row r="37" spans="2:9" ht="15.7" customHeight="1" x14ac:dyDescent="0.3">
      <c r="B37" s="76">
        <v>28</v>
      </c>
      <c r="C37" s="76"/>
      <c r="D37" s="19" t="s">
        <v>204</v>
      </c>
      <c r="F37" s="28" t="s">
        <v>12</v>
      </c>
      <c r="G37" s="19"/>
      <c r="H37" s="19"/>
      <c r="I37" s="19"/>
    </row>
    <row r="38" spans="2:9" ht="15.7" customHeight="1" x14ac:dyDescent="0.3">
      <c r="B38" s="76">
        <v>29</v>
      </c>
      <c r="C38" s="76"/>
      <c r="D38" s="19" t="s">
        <v>205</v>
      </c>
      <c r="F38" s="28" t="s">
        <v>12</v>
      </c>
      <c r="G38" s="19"/>
      <c r="H38" s="19"/>
      <c r="I38" s="19"/>
    </row>
    <row r="39" spans="2:9" ht="15.7" customHeight="1" x14ac:dyDescent="0.3">
      <c r="B39" s="76">
        <v>30</v>
      </c>
      <c r="C39" s="76"/>
      <c r="D39" s="19" t="s">
        <v>206</v>
      </c>
      <c r="F39" s="28" t="s">
        <v>12</v>
      </c>
      <c r="G39" s="19"/>
      <c r="H39" s="19"/>
      <c r="I39" s="19"/>
    </row>
    <row r="40" spans="2:9" ht="15.7" customHeight="1" x14ac:dyDescent="0.3">
      <c r="B40" s="76">
        <v>31</v>
      </c>
      <c r="C40" s="76"/>
      <c r="D40" s="19" t="s">
        <v>207</v>
      </c>
      <c r="F40" s="28" t="s">
        <v>12</v>
      </c>
      <c r="G40" s="19"/>
      <c r="H40" s="19"/>
      <c r="I40" s="19"/>
    </row>
    <row r="41" spans="2:9" ht="15.7" customHeight="1" x14ac:dyDescent="0.3">
      <c r="B41" s="76">
        <v>32</v>
      </c>
      <c r="C41" s="76"/>
      <c r="D41" s="19" t="s">
        <v>208</v>
      </c>
      <c r="F41" s="28" t="s">
        <v>12</v>
      </c>
      <c r="G41" s="19"/>
      <c r="H41" s="19"/>
      <c r="I41" s="19"/>
    </row>
    <row r="42" spans="2:9" ht="15.7" customHeight="1" x14ac:dyDescent="0.3">
      <c r="B42" s="76">
        <v>33</v>
      </c>
      <c r="C42" s="76"/>
      <c r="D42" s="19" t="s">
        <v>209</v>
      </c>
      <c r="F42" s="28" t="s">
        <v>12</v>
      </c>
      <c r="G42" s="19"/>
      <c r="H42" s="19"/>
      <c r="I42" s="19"/>
    </row>
    <row r="43" spans="2:9" ht="15.7" customHeight="1" x14ac:dyDescent="0.3">
      <c r="B43" s="76">
        <v>34</v>
      </c>
      <c r="C43" s="76"/>
      <c r="D43" s="19" t="s">
        <v>224</v>
      </c>
      <c r="F43" s="28" t="s">
        <v>12</v>
      </c>
      <c r="G43" s="19"/>
      <c r="H43" s="19"/>
      <c r="I43" s="19"/>
    </row>
    <row r="44" spans="2:9" ht="15.7" customHeight="1" x14ac:dyDescent="0.3">
      <c r="B44" s="76">
        <v>35</v>
      </c>
      <c r="C44" s="76"/>
      <c r="D44" s="19" t="s">
        <v>210</v>
      </c>
      <c r="F44" s="28" t="s">
        <v>12</v>
      </c>
      <c r="G44" s="19"/>
      <c r="H44" s="19"/>
      <c r="I44" s="19"/>
    </row>
    <row r="45" spans="2:9" ht="15.7" customHeight="1" x14ac:dyDescent="0.3">
      <c r="B45" s="76">
        <v>36</v>
      </c>
      <c r="C45" s="76"/>
      <c r="D45" s="19" t="s">
        <v>211</v>
      </c>
      <c r="F45" s="28" t="s">
        <v>12</v>
      </c>
      <c r="G45" s="19"/>
      <c r="H45" s="19"/>
      <c r="I45" s="19"/>
    </row>
    <row r="46" spans="2:9" ht="15.7" customHeight="1" x14ac:dyDescent="0.3">
      <c r="B46" s="76">
        <v>37</v>
      </c>
      <c r="C46" s="76"/>
      <c r="D46" s="19" t="s">
        <v>212</v>
      </c>
      <c r="F46" s="28" t="s">
        <v>12</v>
      </c>
      <c r="G46" s="19"/>
      <c r="H46" s="19"/>
      <c r="I46" s="19"/>
    </row>
    <row r="47" spans="2:9" ht="15.7" customHeight="1" x14ac:dyDescent="0.3">
      <c r="B47" s="76">
        <v>38</v>
      </c>
      <c r="C47" s="76"/>
      <c r="D47" s="19" t="s">
        <v>225</v>
      </c>
      <c r="F47" s="28" t="s">
        <v>12</v>
      </c>
      <c r="G47" s="19"/>
      <c r="H47" s="19"/>
      <c r="I47" s="19"/>
    </row>
    <row r="48" spans="2:9" ht="15.7" customHeight="1" x14ac:dyDescent="0.3">
      <c r="B48" s="76">
        <v>39</v>
      </c>
      <c r="C48" s="76"/>
      <c r="D48" s="19" t="s">
        <v>213</v>
      </c>
      <c r="F48" s="28" t="s">
        <v>12</v>
      </c>
      <c r="G48" s="19"/>
      <c r="H48" s="19"/>
      <c r="I48" s="19"/>
    </row>
    <row r="49" spans="2:9" ht="15.7" customHeight="1" x14ac:dyDescent="0.3">
      <c r="B49" s="76">
        <v>40</v>
      </c>
      <c r="C49" s="76"/>
      <c r="D49" s="19" t="s">
        <v>214</v>
      </c>
      <c r="F49" s="28" t="s">
        <v>12</v>
      </c>
      <c r="G49" s="19"/>
      <c r="H49" s="19"/>
      <c r="I49" s="19"/>
    </row>
    <row r="50" spans="2:9" ht="15.7" customHeight="1" x14ac:dyDescent="0.3">
      <c r="B50" s="76">
        <v>41</v>
      </c>
      <c r="C50" s="76"/>
      <c r="D50" s="19" t="s">
        <v>215</v>
      </c>
      <c r="F50" s="28" t="s">
        <v>12</v>
      </c>
      <c r="G50" s="19"/>
      <c r="H50" s="19"/>
      <c r="I50" s="19"/>
    </row>
    <row r="51" spans="2:9" ht="15.7" customHeight="1" x14ac:dyDescent="0.3">
      <c r="B51" s="76">
        <v>42</v>
      </c>
      <c r="C51" s="76"/>
      <c r="D51" s="19" t="s">
        <v>216</v>
      </c>
      <c r="F51" s="28" t="s">
        <v>12</v>
      </c>
      <c r="G51" s="19"/>
      <c r="H51" s="19"/>
      <c r="I51" s="19"/>
    </row>
    <row r="52" spans="2:9" ht="15.7" customHeight="1" x14ac:dyDescent="0.3">
      <c r="B52" s="76">
        <v>43</v>
      </c>
      <c r="C52" s="76"/>
      <c r="D52" s="19" t="s">
        <v>217</v>
      </c>
      <c r="F52" s="28" t="s">
        <v>12</v>
      </c>
      <c r="G52" s="19"/>
      <c r="H52" s="19"/>
      <c r="I52" s="19"/>
    </row>
    <row r="53" spans="2:9" ht="15.7" customHeight="1" x14ac:dyDescent="0.3">
      <c r="B53" s="76">
        <v>44</v>
      </c>
      <c r="C53" s="76"/>
      <c r="D53" s="19" t="s">
        <v>218</v>
      </c>
      <c r="F53" s="28" t="s">
        <v>12</v>
      </c>
      <c r="G53" s="19"/>
      <c r="H53" s="19"/>
      <c r="I53" s="19"/>
    </row>
    <row r="54" spans="2:9" ht="15.7" customHeight="1" x14ac:dyDescent="0.3">
      <c r="B54" s="76">
        <v>45</v>
      </c>
      <c r="C54" s="76"/>
      <c r="D54" s="19" t="s">
        <v>219</v>
      </c>
      <c r="F54" s="28" t="s">
        <v>12</v>
      </c>
      <c r="G54" s="19"/>
      <c r="H54" s="19"/>
      <c r="I54" s="19"/>
    </row>
    <row r="55" spans="2:9" ht="15.7" customHeight="1" x14ac:dyDescent="0.3">
      <c r="B55" s="76">
        <v>46</v>
      </c>
      <c r="C55" s="76"/>
      <c r="D55" s="19" t="s">
        <v>220</v>
      </c>
      <c r="F55" s="28" t="s">
        <v>12</v>
      </c>
      <c r="G55" s="19"/>
      <c r="H55" s="19"/>
      <c r="I55" s="19"/>
    </row>
    <row r="56" spans="2:9" ht="15.7" customHeight="1" x14ac:dyDescent="0.3"/>
    <row r="57" spans="2:9" ht="15.7" customHeight="1" x14ac:dyDescent="0.3">
      <c r="B57" s="77" t="s">
        <v>14</v>
      </c>
      <c r="C57" s="78"/>
      <c r="D57" s="75"/>
      <c r="F57" s="26" t="s">
        <v>1</v>
      </c>
      <c r="G57" s="26" t="s">
        <v>3</v>
      </c>
      <c r="H57" s="26" t="s">
        <v>5</v>
      </c>
      <c r="I57" s="27" t="s">
        <v>10</v>
      </c>
    </row>
    <row r="58" spans="2:9" ht="15.7" customHeight="1" x14ac:dyDescent="0.3">
      <c r="B58" s="76">
        <v>1</v>
      </c>
      <c r="C58" s="76"/>
      <c r="D58" s="19" t="s">
        <v>226</v>
      </c>
      <c r="F58" s="28" t="s">
        <v>12</v>
      </c>
      <c r="G58" s="19"/>
      <c r="H58" s="19"/>
      <c r="I58" s="19"/>
    </row>
    <row r="59" spans="2:9" ht="15.7" customHeight="1" x14ac:dyDescent="0.3">
      <c r="B59" s="76">
        <v>2</v>
      </c>
      <c r="C59" s="76"/>
      <c r="D59" s="19" t="s">
        <v>227</v>
      </c>
      <c r="F59" s="28" t="s">
        <v>12</v>
      </c>
      <c r="G59" s="19"/>
      <c r="H59" s="19"/>
      <c r="I59" s="19"/>
    </row>
    <row r="60" spans="2:9" ht="15.7" customHeight="1" x14ac:dyDescent="0.3">
      <c r="B60" s="76">
        <v>3</v>
      </c>
      <c r="C60" s="76"/>
      <c r="D60" s="19" t="s">
        <v>228</v>
      </c>
      <c r="F60" s="28" t="s">
        <v>12</v>
      </c>
      <c r="G60" s="19"/>
      <c r="H60" s="19"/>
      <c r="I60" s="19"/>
    </row>
    <row r="61" spans="2:9" ht="15.7" customHeight="1" x14ac:dyDescent="0.3">
      <c r="B61" s="76">
        <v>4</v>
      </c>
      <c r="C61" s="76"/>
      <c r="D61" s="19" t="s">
        <v>229</v>
      </c>
      <c r="F61" s="28" t="s">
        <v>12</v>
      </c>
      <c r="G61" s="19"/>
      <c r="H61" s="19"/>
      <c r="I61" s="19"/>
    </row>
    <row r="62" spans="2:9" ht="15.7" customHeight="1" x14ac:dyDescent="0.3">
      <c r="B62" s="76">
        <v>5</v>
      </c>
      <c r="C62" s="76"/>
      <c r="D62" s="19" t="s">
        <v>230</v>
      </c>
      <c r="F62" s="28" t="s">
        <v>12</v>
      </c>
      <c r="G62" s="19"/>
      <c r="H62" s="19"/>
      <c r="I62" s="19"/>
    </row>
    <row r="63" spans="2:9" ht="15.7" customHeight="1" x14ac:dyDescent="0.3">
      <c r="B63" s="76">
        <v>6</v>
      </c>
      <c r="C63" s="76"/>
      <c r="D63" s="19" t="s">
        <v>231</v>
      </c>
      <c r="F63" s="28" t="s">
        <v>12</v>
      </c>
      <c r="G63" s="19"/>
      <c r="H63" s="19"/>
      <c r="I63" s="19"/>
    </row>
    <row r="64" spans="2:9" ht="15.7" customHeight="1" x14ac:dyDescent="0.3">
      <c r="B64" s="76">
        <v>7</v>
      </c>
      <c r="C64" s="76"/>
      <c r="D64" s="19" t="s">
        <v>232</v>
      </c>
      <c r="F64" s="28" t="s">
        <v>12</v>
      </c>
      <c r="G64" s="19"/>
      <c r="H64" s="19"/>
      <c r="I64" s="19"/>
    </row>
    <row r="65" spans="2:9" ht="15.7" customHeight="1" x14ac:dyDescent="0.3">
      <c r="B65" s="76">
        <v>8</v>
      </c>
      <c r="C65" s="76"/>
      <c r="D65" s="19" t="s">
        <v>270</v>
      </c>
      <c r="F65" s="28" t="s">
        <v>12</v>
      </c>
      <c r="G65" s="19"/>
      <c r="H65" s="19"/>
      <c r="I65" s="19"/>
    </row>
    <row r="66" spans="2:9" ht="15.7" customHeight="1" x14ac:dyDescent="0.3">
      <c r="B66" s="76">
        <v>9</v>
      </c>
      <c r="C66" s="76"/>
      <c r="D66" s="19" t="s">
        <v>233</v>
      </c>
      <c r="F66" s="28" t="s">
        <v>12</v>
      </c>
      <c r="G66" s="19"/>
      <c r="H66" s="19"/>
      <c r="I66" s="19"/>
    </row>
    <row r="67" spans="2:9" ht="15.7" customHeight="1" x14ac:dyDescent="0.3">
      <c r="B67" s="76">
        <v>10</v>
      </c>
      <c r="C67" s="76"/>
      <c r="D67" s="19" t="s">
        <v>234</v>
      </c>
      <c r="F67" s="28" t="s">
        <v>12</v>
      </c>
      <c r="G67" s="19"/>
      <c r="H67" s="19"/>
      <c r="I67" s="19"/>
    </row>
    <row r="68" spans="2:9" ht="15.7" customHeight="1" x14ac:dyDescent="0.3">
      <c r="B68" s="76">
        <v>11</v>
      </c>
      <c r="C68" s="76"/>
      <c r="D68" s="19" t="s">
        <v>235</v>
      </c>
      <c r="F68" s="28" t="s">
        <v>12</v>
      </c>
      <c r="G68" s="19"/>
      <c r="H68" s="19"/>
      <c r="I68" s="19"/>
    </row>
    <row r="69" spans="2:9" ht="15.7" customHeight="1" x14ac:dyDescent="0.3">
      <c r="B69" s="76">
        <v>12</v>
      </c>
      <c r="C69" s="76"/>
      <c r="D69" s="19" t="s">
        <v>236</v>
      </c>
      <c r="F69" s="28" t="s">
        <v>12</v>
      </c>
      <c r="G69" s="19"/>
      <c r="H69" s="19"/>
      <c r="I69" s="19"/>
    </row>
    <row r="70" spans="2:9" ht="15.7" customHeight="1" x14ac:dyDescent="0.3">
      <c r="B70" s="76">
        <v>13</v>
      </c>
      <c r="C70" s="76"/>
      <c r="D70" s="19" t="s">
        <v>237</v>
      </c>
      <c r="F70" s="28" t="s">
        <v>12</v>
      </c>
      <c r="G70" s="19"/>
      <c r="H70" s="19"/>
      <c r="I70" s="19"/>
    </row>
    <row r="71" spans="2:9" ht="15.7" customHeight="1" x14ac:dyDescent="0.3">
      <c r="B71" s="76">
        <v>14</v>
      </c>
      <c r="C71" s="76"/>
      <c r="D71" s="19" t="s">
        <v>238</v>
      </c>
      <c r="F71" s="28" t="s">
        <v>12</v>
      </c>
      <c r="G71" s="19"/>
      <c r="H71" s="19"/>
      <c r="I71" s="19"/>
    </row>
    <row r="72" spans="2:9" ht="15.7" customHeight="1" x14ac:dyDescent="0.3">
      <c r="B72" s="76">
        <v>15</v>
      </c>
      <c r="C72" s="76"/>
      <c r="D72" s="19" t="s">
        <v>239</v>
      </c>
      <c r="F72" s="28" t="s">
        <v>12</v>
      </c>
      <c r="G72" s="19"/>
      <c r="H72" s="19"/>
      <c r="I72" s="19"/>
    </row>
    <row r="73" spans="2:9" ht="15.7" customHeight="1" x14ac:dyDescent="0.3">
      <c r="B73" s="76">
        <v>16</v>
      </c>
      <c r="C73" s="76"/>
      <c r="D73" s="19" t="s">
        <v>240</v>
      </c>
      <c r="F73" s="28" t="s">
        <v>12</v>
      </c>
      <c r="G73" s="19"/>
      <c r="H73" s="19"/>
      <c r="I73" s="19"/>
    </row>
    <row r="74" spans="2:9" ht="15.7" customHeight="1" x14ac:dyDescent="0.3">
      <c r="B74" s="76">
        <v>17</v>
      </c>
      <c r="C74" s="76"/>
      <c r="D74" s="19" t="s">
        <v>271</v>
      </c>
      <c r="F74" s="28" t="s">
        <v>12</v>
      </c>
      <c r="G74" s="19"/>
      <c r="H74" s="19"/>
      <c r="I74" s="19"/>
    </row>
    <row r="75" spans="2:9" ht="15.7" customHeight="1" x14ac:dyDescent="0.3">
      <c r="B75" s="76">
        <v>18</v>
      </c>
      <c r="C75" s="76"/>
      <c r="D75" s="19" t="s">
        <v>241</v>
      </c>
      <c r="F75" s="28" t="s">
        <v>12</v>
      </c>
      <c r="G75" s="19"/>
      <c r="H75" s="19"/>
      <c r="I75" s="19"/>
    </row>
    <row r="76" spans="2:9" ht="15.7" customHeight="1" x14ac:dyDescent="0.3">
      <c r="B76" s="76">
        <v>19</v>
      </c>
      <c r="C76" s="76"/>
      <c r="D76" s="19" t="s">
        <v>242</v>
      </c>
      <c r="F76" s="28" t="s">
        <v>12</v>
      </c>
      <c r="G76" s="19"/>
      <c r="H76" s="19"/>
      <c r="I76" s="19"/>
    </row>
    <row r="77" spans="2:9" ht="15.7" customHeight="1" x14ac:dyDescent="0.3">
      <c r="B77" s="76">
        <v>20</v>
      </c>
      <c r="C77" s="76"/>
      <c r="D77" s="19" t="s">
        <v>272</v>
      </c>
      <c r="F77" s="28" t="s">
        <v>12</v>
      </c>
      <c r="G77" s="19"/>
      <c r="H77" s="19"/>
      <c r="I77" s="19"/>
    </row>
    <row r="78" spans="2:9" ht="15.7" customHeight="1" x14ac:dyDescent="0.3">
      <c r="B78" s="76">
        <v>21</v>
      </c>
      <c r="C78" s="76"/>
      <c r="D78" s="19" t="s">
        <v>243</v>
      </c>
      <c r="F78" s="28" t="s">
        <v>12</v>
      </c>
      <c r="G78" s="19"/>
      <c r="H78" s="19"/>
      <c r="I78" s="19"/>
    </row>
    <row r="79" spans="2:9" ht="15.7" customHeight="1" x14ac:dyDescent="0.3">
      <c r="B79" s="76">
        <v>22</v>
      </c>
      <c r="C79" s="76"/>
      <c r="D79" s="19" t="s">
        <v>244</v>
      </c>
      <c r="F79" s="28" t="s">
        <v>12</v>
      </c>
      <c r="G79" s="19"/>
      <c r="H79" s="19"/>
      <c r="I79" s="19"/>
    </row>
    <row r="80" spans="2:9" ht="15.7" customHeight="1" x14ac:dyDescent="0.3">
      <c r="B80" s="76">
        <v>23</v>
      </c>
      <c r="C80" s="76"/>
      <c r="D80" s="19" t="s">
        <v>245</v>
      </c>
      <c r="F80" s="28" t="s">
        <v>12</v>
      </c>
      <c r="G80" s="19"/>
      <c r="H80" s="19"/>
      <c r="I80" s="19"/>
    </row>
    <row r="81" spans="2:9" ht="15.7" customHeight="1" x14ac:dyDescent="0.3">
      <c r="B81" s="76">
        <v>24</v>
      </c>
      <c r="C81" s="76"/>
      <c r="D81" s="19" t="s">
        <v>246</v>
      </c>
      <c r="F81" s="28" t="s">
        <v>12</v>
      </c>
      <c r="G81" s="19"/>
      <c r="H81" s="19"/>
      <c r="I81" s="19"/>
    </row>
    <row r="82" spans="2:9" ht="15.7" customHeight="1" x14ac:dyDescent="0.3">
      <c r="B82" s="76">
        <v>25</v>
      </c>
      <c r="C82" s="76"/>
      <c r="D82" s="19" t="s">
        <v>247</v>
      </c>
      <c r="F82" s="28" t="s">
        <v>12</v>
      </c>
      <c r="G82" s="19"/>
      <c r="H82" s="19"/>
      <c r="I82" s="19"/>
    </row>
    <row r="83" spans="2:9" ht="15.7" customHeight="1" x14ac:dyDescent="0.3">
      <c r="B83" s="76">
        <v>26</v>
      </c>
      <c r="C83" s="76"/>
      <c r="D83" s="19" t="s">
        <v>248</v>
      </c>
      <c r="F83" s="28" t="s">
        <v>12</v>
      </c>
      <c r="G83" s="19"/>
      <c r="H83" s="19"/>
      <c r="I83" s="19"/>
    </row>
    <row r="84" spans="2:9" ht="15.7" customHeight="1" x14ac:dyDescent="0.3">
      <c r="B84" s="76">
        <v>27</v>
      </c>
      <c r="C84" s="76"/>
      <c r="D84" s="19" t="s">
        <v>273</v>
      </c>
      <c r="F84" s="28" t="s">
        <v>12</v>
      </c>
      <c r="G84" s="19"/>
      <c r="H84" s="19"/>
      <c r="I84" s="19"/>
    </row>
    <row r="85" spans="2:9" ht="15.7" customHeight="1" x14ac:dyDescent="0.3">
      <c r="B85" s="76">
        <v>28</v>
      </c>
      <c r="C85" s="76"/>
      <c r="D85" s="19" t="s">
        <v>249</v>
      </c>
      <c r="F85" s="28" t="s">
        <v>12</v>
      </c>
      <c r="G85" s="19"/>
      <c r="H85" s="19"/>
      <c r="I85" s="19"/>
    </row>
    <row r="86" spans="2:9" ht="15.7" customHeight="1" x14ac:dyDescent="0.3">
      <c r="B86" s="76">
        <v>29</v>
      </c>
      <c r="C86" s="76"/>
      <c r="D86" s="19" t="s">
        <v>250</v>
      </c>
      <c r="F86" s="28" t="s">
        <v>12</v>
      </c>
      <c r="G86" s="19"/>
      <c r="H86" s="19"/>
      <c r="I86" s="19"/>
    </row>
    <row r="87" spans="2:9" ht="15.7" customHeight="1" x14ac:dyDescent="0.3">
      <c r="B87" s="76">
        <v>30</v>
      </c>
      <c r="C87" s="76"/>
      <c r="D87" s="19" t="s">
        <v>251</v>
      </c>
      <c r="F87" s="28" t="s">
        <v>12</v>
      </c>
      <c r="G87" s="19"/>
      <c r="H87" s="19"/>
      <c r="I87" s="19"/>
    </row>
    <row r="88" spans="2:9" ht="15.7" customHeight="1" x14ac:dyDescent="0.3">
      <c r="B88" s="76">
        <v>31</v>
      </c>
      <c r="C88" s="76"/>
      <c r="D88" s="19" t="s">
        <v>252</v>
      </c>
      <c r="F88" s="28" t="s">
        <v>12</v>
      </c>
      <c r="G88" s="19"/>
      <c r="H88" s="19"/>
      <c r="I88" s="19"/>
    </row>
    <row r="89" spans="2:9" ht="15.7" customHeight="1" x14ac:dyDescent="0.3">
      <c r="B89" s="76">
        <v>32</v>
      </c>
      <c r="C89" s="76"/>
      <c r="D89" s="19" t="s">
        <v>274</v>
      </c>
      <c r="F89" s="28" t="s">
        <v>12</v>
      </c>
      <c r="G89" s="19"/>
      <c r="H89" s="19"/>
      <c r="I89" s="19"/>
    </row>
    <row r="90" spans="2:9" ht="15.7" customHeight="1" x14ac:dyDescent="0.3">
      <c r="B90" s="76">
        <v>33</v>
      </c>
      <c r="C90" s="76"/>
      <c r="D90" s="19" t="s">
        <v>253</v>
      </c>
      <c r="F90" s="28" t="s">
        <v>12</v>
      </c>
      <c r="G90" s="19"/>
      <c r="H90" s="19"/>
      <c r="I90" s="19"/>
    </row>
    <row r="91" spans="2:9" ht="15.7" customHeight="1" x14ac:dyDescent="0.3">
      <c r="B91" s="76">
        <v>34</v>
      </c>
      <c r="C91" s="76"/>
      <c r="D91" s="19" t="s">
        <v>275</v>
      </c>
      <c r="F91" s="28" t="s">
        <v>12</v>
      </c>
      <c r="G91" s="19"/>
      <c r="H91" s="19"/>
      <c r="I91" s="19"/>
    </row>
    <row r="92" spans="2:9" ht="15.7" customHeight="1" x14ac:dyDescent="0.3">
      <c r="B92" s="76">
        <v>35</v>
      </c>
      <c r="C92" s="76"/>
      <c r="D92" s="19" t="s">
        <v>276</v>
      </c>
      <c r="F92" s="28" t="s">
        <v>12</v>
      </c>
      <c r="G92" s="19"/>
      <c r="H92" s="19"/>
      <c r="I92" s="19"/>
    </row>
    <row r="93" spans="2:9" ht="15.7" customHeight="1" x14ac:dyDescent="0.3">
      <c r="B93" s="76">
        <v>36</v>
      </c>
      <c r="C93" s="76"/>
      <c r="D93" s="19" t="s">
        <v>277</v>
      </c>
      <c r="F93" s="28" t="s">
        <v>12</v>
      </c>
      <c r="G93" s="19"/>
      <c r="H93" s="19"/>
      <c r="I93" s="19"/>
    </row>
    <row r="94" spans="2:9" ht="15.7" customHeight="1" x14ac:dyDescent="0.3">
      <c r="B94" s="76">
        <v>37</v>
      </c>
      <c r="C94" s="76"/>
      <c r="D94" s="19" t="s">
        <v>254</v>
      </c>
      <c r="F94" s="28" t="s">
        <v>12</v>
      </c>
      <c r="G94" s="19"/>
      <c r="H94" s="19"/>
      <c r="I94" s="19"/>
    </row>
    <row r="95" spans="2:9" ht="15.7" customHeight="1" x14ac:dyDescent="0.3">
      <c r="B95" s="76">
        <v>38</v>
      </c>
      <c r="C95" s="76"/>
      <c r="D95" s="19" t="s">
        <v>255</v>
      </c>
      <c r="F95" s="28" t="s">
        <v>12</v>
      </c>
      <c r="G95" s="19"/>
      <c r="H95" s="19"/>
      <c r="I95" s="19"/>
    </row>
    <row r="96" spans="2:9" ht="15.7" customHeight="1" x14ac:dyDescent="0.3">
      <c r="B96" s="76">
        <v>39</v>
      </c>
      <c r="C96" s="76"/>
      <c r="D96" s="19" t="s">
        <v>256</v>
      </c>
      <c r="F96" s="28" t="s">
        <v>12</v>
      </c>
      <c r="G96" s="19"/>
      <c r="H96" s="19"/>
      <c r="I96" s="19"/>
    </row>
    <row r="97" spans="2:9" ht="15.7" customHeight="1" x14ac:dyDescent="0.3">
      <c r="B97" s="76">
        <v>40</v>
      </c>
      <c r="C97" s="76"/>
      <c r="D97" s="19" t="s">
        <v>257</v>
      </c>
      <c r="F97" s="28" t="s">
        <v>12</v>
      </c>
      <c r="G97" s="19"/>
      <c r="H97" s="19"/>
      <c r="I97" s="19"/>
    </row>
    <row r="98" spans="2:9" ht="15.7" customHeight="1" x14ac:dyDescent="0.3">
      <c r="B98" s="76">
        <v>41</v>
      </c>
      <c r="C98" s="76"/>
      <c r="D98" s="19" t="s">
        <v>258</v>
      </c>
      <c r="F98" s="28" t="s">
        <v>12</v>
      </c>
      <c r="G98" s="19"/>
      <c r="H98" s="19"/>
      <c r="I98" s="19"/>
    </row>
    <row r="99" spans="2:9" ht="15.7" customHeight="1" x14ac:dyDescent="0.3">
      <c r="B99" s="76">
        <v>42</v>
      </c>
      <c r="C99" s="76"/>
      <c r="D99" s="19" t="s">
        <v>259</v>
      </c>
      <c r="F99" s="28" t="s">
        <v>12</v>
      </c>
      <c r="G99" s="19"/>
      <c r="H99" s="19"/>
      <c r="I99" s="19"/>
    </row>
    <row r="100" spans="2:9" ht="15.7" customHeight="1" x14ac:dyDescent="0.3">
      <c r="B100" s="76">
        <v>43</v>
      </c>
      <c r="C100" s="76"/>
      <c r="D100" s="19" t="s">
        <v>278</v>
      </c>
      <c r="F100" s="28" t="s">
        <v>12</v>
      </c>
      <c r="G100" s="19"/>
      <c r="H100" s="19"/>
      <c r="I100" s="19"/>
    </row>
    <row r="101" spans="2:9" ht="15.7" customHeight="1" x14ac:dyDescent="0.3">
      <c r="B101" s="76">
        <v>44</v>
      </c>
      <c r="C101" s="76"/>
      <c r="D101" s="19" t="s">
        <v>260</v>
      </c>
      <c r="F101" s="28" t="s">
        <v>12</v>
      </c>
      <c r="G101" s="19"/>
      <c r="H101" s="19"/>
      <c r="I101" s="19"/>
    </row>
    <row r="102" spans="2:9" ht="15.7" customHeight="1" x14ac:dyDescent="0.3">
      <c r="B102" s="76">
        <v>45</v>
      </c>
      <c r="C102" s="76"/>
      <c r="D102" s="19" t="s">
        <v>261</v>
      </c>
      <c r="F102" s="28" t="s">
        <v>12</v>
      </c>
      <c r="G102" s="19"/>
      <c r="H102" s="19"/>
      <c r="I102" s="19"/>
    </row>
    <row r="103" spans="2:9" ht="15.7" customHeight="1" x14ac:dyDescent="0.3">
      <c r="B103" s="76">
        <v>46</v>
      </c>
      <c r="C103" s="76"/>
      <c r="D103" s="19" t="s">
        <v>262</v>
      </c>
      <c r="F103" s="28" t="s">
        <v>12</v>
      </c>
      <c r="G103" s="19"/>
      <c r="H103" s="19"/>
      <c r="I103" s="19"/>
    </row>
    <row r="104" spans="2:9" ht="15.7" customHeight="1" x14ac:dyDescent="0.3">
      <c r="B104" s="76">
        <v>47</v>
      </c>
      <c r="C104" s="76"/>
      <c r="D104" s="19" t="s">
        <v>263</v>
      </c>
      <c r="F104" s="28" t="s">
        <v>12</v>
      </c>
      <c r="G104" s="19"/>
      <c r="H104" s="19"/>
      <c r="I104" s="19"/>
    </row>
    <row r="105" spans="2:9" ht="15.7" customHeight="1" x14ac:dyDescent="0.3">
      <c r="B105" s="76">
        <v>48</v>
      </c>
      <c r="C105" s="76"/>
      <c r="D105" s="19" t="s">
        <v>264</v>
      </c>
      <c r="F105" s="28" t="s">
        <v>12</v>
      </c>
      <c r="G105" s="19"/>
      <c r="H105" s="19"/>
      <c r="I105" s="19"/>
    </row>
    <row r="106" spans="2:9" ht="15.7" customHeight="1" x14ac:dyDescent="0.3">
      <c r="B106" s="76">
        <v>49</v>
      </c>
      <c r="C106" s="76"/>
      <c r="D106" s="19" t="s">
        <v>265</v>
      </c>
      <c r="F106" s="28" t="s">
        <v>12</v>
      </c>
      <c r="G106" s="19"/>
      <c r="H106" s="19"/>
      <c r="I106" s="19"/>
    </row>
    <row r="107" spans="2:9" ht="15.7" customHeight="1" x14ac:dyDescent="0.3">
      <c r="B107" s="76">
        <v>50</v>
      </c>
      <c r="C107" s="76"/>
      <c r="D107" s="19" t="s">
        <v>266</v>
      </c>
      <c r="F107" s="28" t="s">
        <v>12</v>
      </c>
      <c r="G107" s="19"/>
      <c r="H107" s="19"/>
      <c r="I107" s="19"/>
    </row>
    <row r="108" spans="2:9" ht="15.7" customHeight="1" x14ac:dyDescent="0.3">
      <c r="B108" s="76">
        <v>51</v>
      </c>
      <c r="C108" s="76"/>
      <c r="D108" s="19" t="s">
        <v>267</v>
      </c>
      <c r="F108" s="28" t="s">
        <v>12</v>
      </c>
      <c r="G108" s="19"/>
      <c r="H108" s="19"/>
      <c r="I108" s="19"/>
    </row>
    <row r="109" spans="2:9" ht="15.7" customHeight="1" x14ac:dyDescent="0.3">
      <c r="B109" s="76">
        <v>52</v>
      </c>
      <c r="C109" s="76"/>
      <c r="D109" s="19" t="s">
        <v>268</v>
      </c>
      <c r="F109" s="28" t="s">
        <v>12</v>
      </c>
      <c r="G109" s="19"/>
      <c r="H109" s="19"/>
      <c r="I109" s="19"/>
    </row>
    <row r="110" spans="2:9" ht="15.7" customHeight="1" x14ac:dyDescent="0.3">
      <c r="B110" s="76">
        <v>53</v>
      </c>
      <c r="C110" s="76"/>
      <c r="D110" s="19" t="s">
        <v>269</v>
      </c>
      <c r="F110" s="28" t="s">
        <v>12</v>
      </c>
      <c r="G110" s="19"/>
      <c r="H110" s="19"/>
      <c r="I110" s="19"/>
    </row>
    <row r="111" spans="2:9" ht="15.7" customHeight="1" x14ac:dyDescent="0.3"/>
    <row r="112" spans="2:9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</sheetData>
  <mergeCells count="106">
    <mergeCell ref="B9:D9"/>
    <mergeCell ref="B2:I2"/>
    <mergeCell ref="C3:D3"/>
    <mergeCell ref="C4:D4"/>
    <mergeCell ref="C5:D5"/>
    <mergeCell ref="B6:C6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63:C63"/>
    <mergeCell ref="B57:D57"/>
    <mergeCell ref="B58:C58"/>
    <mergeCell ref="B59:C59"/>
    <mergeCell ref="B60:C60"/>
    <mergeCell ref="B61:C61"/>
    <mergeCell ref="B62:C62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76:C76"/>
    <mergeCell ref="B77:C77"/>
    <mergeCell ref="B78:C78"/>
    <mergeCell ref="B79:C79"/>
    <mergeCell ref="B80:C80"/>
    <mergeCell ref="B75:C75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5117038483843"/>
  </sheetPr>
  <dimension ref="A1:I820"/>
  <sheetViews>
    <sheetView topLeftCell="A69" zoomScale="85" zoomScaleNormal="85" workbookViewId="0"/>
  </sheetViews>
  <sheetFormatPr baseColWidth="10" defaultColWidth="14.3984375" defaultRowHeight="14.4" x14ac:dyDescent="0.3"/>
  <cols>
    <col min="1" max="1" width="6.3984375" customWidth="1"/>
    <col min="2" max="2" width="10.69921875" customWidth="1"/>
    <col min="3" max="3" width="11.3984375" customWidth="1"/>
    <col min="4" max="4" width="152.69921875" customWidth="1"/>
    <col min="5" max="5" width="5.3984375" customWidth="1"/>
    <col min="6" max="6" width="21.59765625" customWidth="1"/>
    <col min="7" max="8" width="10.69921875" customWidth="1"/>
    <col min="9" max="9" width="29.69921875" customWidth="1"/>
    <col min="10" max="26" width="10.69921875" customWidth="1"/>
  </cols>
  <sheetData>
    <row r="1" spans="1:9" x14ac:dyDescent="0.3">
      <c r="D1" s="46" t="str">
        <f>HYPERLINK("#'Paginación'!A1","Volver")</f>
        <v>Volver</v>
      </c>
    </row>
    <row r="2" spans="1:9" ht="15.55" x14ac:dyDescent="0.3">
      <c r="B2" s="79" t="s">
        <v>44</v>
      </c>
      <c r="C2" s="78"/>
      <c r="D2" s="78"/>
      <c r="E2" s="78"/>
      <c r="F2" s="78"/>
      <c r="G2" s="78"/>
      <c r="H2" s="78"/>
      <c r="I2" s="80"/>
    </row>
    <row r="3" spans="1:9" ht="16.149999999999999" x14ac:dyDescent="0.35">
      <c r="B3" s="10" t="s">
        <v>1</v>
      </c>
      <c r="C3" s="81" t="s">
        <v>2</v>
      </c>
      <c r="D3" s="82"/>
      <c r="E3" s="1"/>
      <c r="F3" s="1"/>
      <c r="G3" s="1"/>
      <c r="H3" s="1"/>
      <c r="I3" s="11"/>
    </row>
    <row r="4" spans="1:9" ht="16.149999999999999" x14ac:dyDescent="0.35">
      <c r="B4" s="10" t="s">
        <v>3</v>
      </c>
      <c r="C4" s="81" t="s">
        <v>4</v>
      </c>
      <c r="D4" s="82"/>
      <c r="E4" s="1"/>
      <c r="F4" s="1"/>
      <c r="G4" s="1"/>
      <c r="H4" s="1"/>
      <c r="I4" s="11"/>
    </row>
    <row r="5" spans="1:9" ht="16.149999999999999" x14ac:dyDescent="0.35">
      <c r="B5" s="10" t="s">
        <v>5</v>
      </c>
      <c r="C5" s="81" t="s">
        <v>6</v>
      </c>
      <c r="D5" s="82"/>
      <c r="E5" s="1"/>
      <c r="F5" s="1"/>
      <c r="G5" s="1"/>
      <c r="H5" s="1"/>
      <c r="I5" s="11"/>
    </row>
    <row r="6" spans="1:9" ht="16.149999999999999" x14ac:dyDescent="0.35">
      <c r="B6" s="83" t="s">
        <v>7</v>
      </c>
      <c r="C6" s="84"/>
      <c r="D6" s="12" t="s">
        <v>8</v>
      </c>
      <c r="E6" s="13"/>
      <c r="F6" s="13"/>
      <c r="G6" s="13"/>
      <c r="H6" s="13"/>
      <c r="I6" s="14"/>
    </row>
    <row r="9" spans="1:9" x14ac:dyDescent="0.3">
      <c r="B9" s="77" t="s">
        <v>11</v>
      </c>
      <c r="C9" s="78"/>
      <c r="D9" s="75"/>
      <c r="F9" s="26" t="s">
        <v>1</v>
      </c>
      <c r="G9" s="26" t="s">
        <v>3</v>
      </c>
      <c r="H9" s="26" t="s">
        <v>5</v>
      </c>
      <c r="I9" s="26" t="s">
        <v>10</v>
      </c>
    </row>
    <row r="10" spans="1:9" ht="15.7" customHeight="1" x14ac:dyDescent="0.3">
      <c r="A10" s="37" t="s">
        <v>38</v>
      </c>
      <c r="B10" s="76">
        <v>1</v>
      </c>
      <c r="C10" s="76"/>
      <c r="D10" s="43" t="s">
        <v>279</v>
      </c>
      <c r="F10" s="28" t="s">
        <v>12</v>
      </c>
      <c r="G10" s="19"/>
      <c r="H10" s="19"/>
      <c r="I10" s="19"/>
    </row>
    <row r="11" spans="1:9" ht="15.7" customHeight="1" x14ac:dyDescent="0.3">
      <c r="B11" s="76">
        <v>2</v>
      </c>
      <c r="C11" s="76"/>
      <c r="D11" s="43" t="s">
        <v>280</v>
      </c>
      <c r="F11" s="28" t="s">
        <v>12</v>
      </c>
      <c r="G11" s="19"/>
      <c r="H11" s="19"/>
      <c r="I11" s="19"/>
    </row>
    <row r="12" spans="1:9" ht="15.7" customHeight="1" x14ac:dyDescent="0.3">
      <c r="B12" s="76">
        <v>3</v>
      </c>
      <c r="C12" s="76"/>
      <c r="D12" s="43" t="s">
        <v>281</v>
      </c>
      <c r="F12" s="28" t="s">
        <v>12</v>
      </c>
      <c r="G12" s="19"/>
      <c r="H12" s="19"/>
      <c r="I12" s="19"/>
    </row>
    <row r="13" spans="1:9" ht="15.7" customHeight="1" x14ac:dyDescent="0.3">
      <c r="B13" s="76">
        <v>4</v>
      </c>
      <c r="C13" s="76"/>
      <c r="D13" s="43" t="s">
        <v>282</v>
      </c>
      <c r="F13" s="28" t="s">
        <v>12</v>
      </c>
      <c r="G13" s="19"/>
      <c r="H13" s="19"/>
      <c r="I13" s="19"/>
    </row>
    <row r="14" spans="1:9" ht="15.7" customHeight="1" x14ac:dyDescent="0.3">
      <c r="B14" s="76">
        <v>5</v>
      </c>
      <c r="C14" s="76"/>
      <c r="D14" s="43" t="s">
        <v>283</v>
      </c>
      <c r="F14" s="28" t="s">
        <v>12</v>
      </c>
      <c r="G14" s="19"/>
      <c r="H14" s="19"/>
      <c r="I14" s="19"/>
    </row>
    <row r="15" spans="1:9" ht="15.7" customHeight="1" x14ac:dyDescent="0.3">
      <c r="B15" s="76">
        <v>6</v>
      </c>
      <c r="C15" s="76"/>
      <c r="D15" s="43" t="s">
        <v>284</v>
      </c>
      <c r="F15" s="28" t="s">
        <v>12</v>
      </c>
      <c r="G15" s="19"/>
      <c r="H15" s="19"/>
      <c r="I15" s="19"/>
    </row>
    <row r="16" spans="1:9" ht="15.7" customHeight="1" x14ac:dyDescent="0.3">
      <c r="B16" s="76">
        <v>7</v>
      </c>
      <c r="C16" s="76"/>
      <c r="D16" s="43" t="s">
        <v>285</v>
      </c>
      <c r="F16" s="28" t="s">
        <v>12</v>
      </c>
      <c r="G16" s="19"/>
      <c r="H16" s="19"/>
      <c r="I16" s="19"/>
    </row>
    <row r="17" spans="2:9" ht="15.7" customHeight="1" x14ac:dyDescent="0.3">
      <c r="B17" s="76">
        <v>8</v>
      </c>
      <c r="C17" s="76"/>
      <c r="D17" s="43" t="s">
        <v>286</v>
      </c>
      <c r="F17" s="28" t="s">
        <v>12</v>
      </c>
      <c r="G17" s="19"/>
      <c r="H17" s="19"/>
      <c r="I17" s="19"/>
    </row>
    <row r="18" spans="2:9" ht="15.7" customHeight="1" x14ac:dyDescent="0.3">
      <c r="B18" s="76">
        <v>9</v>
      </c>
      <c r="C18" s="76"/>
      <c r="D18" s="43" t="s">
        <v>287</v>
      </c>
      <c r="F18" s="28" t="s">
        <v>12</v>
      </c>
      <c r="G18" s="19"/>
      <c r="H18" s="19"/>
      <c r="I18" s="19"/>
    </row>
    <row r="19" spans="2:9" ht="15.7" customHeight="1" x14ac:dyDescent="0.3">
      <c r="B19" s="76">
        <v>10</v>
      </c>
      <c r="C19" s="76"/>
      <c r="D19" s="43" t="s">
        <v>288</v>
      </c>
      <c r="F19" s="28" t="s">
        <v>12</v>
      </c>
      <c r="G19" s="19"/>
      <c r="H19" s="19"/>
      <c r="I19" s="19"/>
    </row>
    <row r="20" spans="2:9" ht="15.7" customHeight="1" x14ac:dyDescent="0.3">
      <c r="B20" s="76">
        <v>11</v>
      </c>
      <c r="C20" s="76"/>
      <c r="D20" s="43" t="s">
        <v>289</v>
      </c>
      <c r="F20" s="28" t="s">
        <v>12</v>
      </c>
      <c r="G20" s="19"/>
      <c r="H20" s="19"/>
      <c r="I20" s="19"/>
    </row>
    <row r="21" spans="2:9" ht="15.7" customHeight="1" x14ac:dyDescent="0.3">
      <c r="B21" s="76">
        <v>12</v>
      </c>
      <c r="C21" s="76"/>
      <c r="D21" s="43" t="s">
        <v>290</v>
      </c>
      <c r="F21" s="28" t="s">
        <v>12</v>
      </c>
      <c r="G21" s="19"/>
      <c r="H21" s="19"/>
      <c r="I21" s="19"/>
    </row>
    <row r="22" spans="2:9" ht="15.7" customHeight="1" x14ac:dyDescent="0.3">
      <c r="B22" s="76">
        <v>13</v>
      </c>
      <c r="C22" s="76"/>
      <c r="D22" s="43" t="s">
        <v>291</v>
      </c>
      <c r="F22" s="28" t="s">
        <v>12</v>
      </c>
      <c r="G22" s="19"/>
      <c r="H22" s="19"/>
      <c r="I22" s="19"/>
    </row>
    <row r="23" spans="2:9" ht="15.7" customHeight="1" x14ac:dyDescent="0.3">
      <c r="B23" s="76">
        <v>14</v>
      </c>
      <c r="C23" s="76"/>
      <c r="D23" s="43" t="s">
        <v>292</v>
      </c>
      <c r="F23" s="28" t="s">
        <v>12</v>
      </c>
      <c r="G23" s="19"/>
      <c r="H23" s="19"/>
      <c r="I23" s="19"/>
    </row>
    <row r="24" spans="2:9" ht="15.7" customHeight="1" x14ac:dyDescent="0.3">
      <c r="B24" s="76">
        <v>15</v>
      </c>
      <c r="C24" s="76"/>
      <c r="D24" s="43" t="s">
        <v>293</v>
      </c>
      <c r="F24" s="28" t="s">
        <v>12</v>
      </c>
      <c r="G24" s="19"/>
      <c r="H24" s="19"/>
      <c r="I24" s="19"/>
    </row>
    <row r="25" spans="2:9" ht="15.7" customHeight="1" x14ac:dyDescent="0.3">
      <c r="B25" s="76">
        <v>16</v>
      </c>
      <c r="C25" s="76"/>
      <c r="D25" s="43" t="s">
        <v>294</v>
      </c>
      <c r="F25" s="28" t="s">
        <v>12</v>
      </c>
      <c r="G25" s="19"/>
      <c r="H25" s="19"/>
      <c r="I25" s="19"/>
    </row>
    <row r="26" spans="2:9" ht="15.7" customHeight="1" x14ac:dyDescent="0.3">
      <c r="B26" s="76">
        <v>17</v>
      </c>
      <c r="C26" s="76"/>
      <c r="D26" s="43" t="s">
        <v>295</v>
      </c>
      <c r="F26" s="28" t="s">
        <v>12</v>
      </c>
      <c r="G26" s="19"/>
      <c r="H26" s="19"/>
      <c r="I26" s="19"/>
    </row>
    <row r="27" spans="2:9" ht="15.7" customHeight="1" x14ac:dyDescent="0.3">
      <c r="B27" s="76">
        <v>18</v>
      </c>
      <c r="C27" s="76"/>
      <c r="D27" s="43" t="s">
        <v>296</v>
      </c>
      <c r="F27" s="28" t="s">
        <v>12</v>
      </c>
      <c r="G27" s="19"/>
      <c r="H27" s="19"/>
      <c r="I27" s="19"/>
    </row>
    <row r="28" spans="2:9" ht="15.7" customHeight="1" x14ac:dyDescent="0.3">
      <c r="B28" s="76">
        <v>19</v>
      </c>
      <c r="C28" s="76"/>
      <c r="D28" s="43" t="s">
        <v>297</v>
      </c>
      <c r="F28" s="28" t="s">
        <v>12</v>
      </c>
      <c r="G28" s="19"/>
      <c r="H28" s="19"/>
      <c r="I28" s="19"/>
    </row>
    <row r="29" spans="2:9" ht="15.7" customHeight="1" x14ac:dyDescent="0.3">
      <c r="B29" s="76">
        <v>20</v>
      </c>
      <c r="C29" s="76"/>
      <c r="D29" s="43" t="s">
        <v>298</v>
      </c>
      <c r="F29" s="28" t="s">
        <v>12</v>
      </c>
      <c r="G29" s="19"/>
      <c r="H29" s="19"/>
      <c r="I29" s="19"/>
    </row>
    <row r="30" spans="2:9" ht="15.7" customHeight="1" x14ac:dyDescent="0.3">
      <c r="B30" s="76">
        <v>21</v>
      </c>
      <c r="C30" s="76"/>
      <c r="D30" s="43" t="s">
        <v>299</v>
      </c>
      <c r="F30" s="28" t="s">
        <v>12</v>
      </c>
      <c r="G30" s="19"/>
      <c r="H30" s="19"/>
      <c r="I30" s="19"/>
    </row>
    <row r="31" spans="2:9" ht="15.7" customHeight="1" x14ac:dyDescent="0.3">
      <c r="B31" s="76">
        <v>22</v>
      </c>
      <c r="C31" s="76"/>
      <c r="D31" s="43" t="s">
        <v>300</v>
      </c>
      <c r="F31" s="28" t="s">
        <v>12</v>
      </c>
      <c r="G31" s="19"/>
      <c r="H31" s="19"/>
      <c r="I31" s="19"/>
    </row>
    <row r="32" spans="2:9" ht="15.7" customHeight="1" x14ac:dyDescent="0.3">
      <c r="B32" s="76">
        <v>23</v>
      </c>
      <c r="C32" s="76"/>
      <c r="D32" s="43" t="s">
        <v>301</v>
      </c>
      <c r="F32" s="28" t="s">
        <v>12</v>
      </c>
      <c r="G32" s="19"/>
      <c r="H32" s="19"/>
      <c r="I32" s="19"/>
    </row>
    <row r="33" spans="2:9" ht="15.7" customHeight="1" x14ac:dyDescent="0.3">
      <c r="B33" s="76">
        <v>24</v>
      </c>
      <c r="C33" s="76"/>
      <c r="D33" s="43" t="s">
        <v>302</v>
      </c>
      <c r="F33" s="28" t="s">
        <v>12</v>
      </c>
      <c r="G33" s="19"/>
      <c r="H33" s="19"/>
      <c r="I33" s="19"/>
    </row>
    <row r="34" spans="2:9" ht="15.7" customHeight="1" x14ac:dyDescent="0.3">
      <c r="B34" s="76">
        <v>25</v>
      </c>
      <c r="C34" s="76"/>
      <c r="D34" s="43" t="s">
        <v>303</v>
      </c>
      <c r="F34" s="28" t="s">
        <v>12</v>
      </c>
      <c r="G34" s="19"/>
      <c r="H34" s="19"/>
      <c r="I34" s="19"/>
    </row>
    <row r="35" spans="2:9" ht="15.7" customHeight="1" x14ac:dyDescent="0.3">
      <c r="B35" s="76">
        <v>26</v>
      </c>
      <c r="C35" s="76"/>
      <c r="D35" s="43" t="s">
        <v>304</v>
      </c>
      <c r="F35" s="28" t="s">
        <v>12</v>
      </c>
      <c r="G35" s="19"/>
      <c r="H35" s="19"/>
      <c r="I35" s="19"/>
    </row>
    <row r="36" spans="2:9" ht="15.7" customHeight="1" x14ac:dyDescent="0.3">
      <c r="B36" s="76">
        <v>27</v>
      </c>
      <c r="C36" s="76"/>
      <c r="D36" s="43" t="s">
        <v>305</v>
      </c>
      <c r="F36" s="28" t="s">
        <v>12</v>
      </c>
      <c r="G36" s="19"/>
      <c r="H36" s="19"/>
      <c r="I36" s="19"/>
    </row>
    <row r="37" spans="2:9" ht="15.7" customHeight="1" x14ac:dyDescent="0.3">
      <c r="B37" s="76">
        <v>28</v>
      </c>
      <c r="C37" s="76"/>
      <c r="D37" s="43" t="s">
        <v>306</v>
      </c>
      <c r="F37" s="28" t="s">
        <v>12</v>
      </c>
      <c r="G37" s="19"/>
      <c r="H37" s="19"/>
      <c r="I37" s="19"/>
    </row>
    <row r="38" spans="2:9" ht="15.7" customHeight="1" x14ac:dyDescent="0.3">
      <c r="B38" s="76">
        <v>29</v>
      </c>
      <c r="C38" s="76"/>
      <c r="D38" s="43" t="s">
        <v>307</v>
      </c>
      <c r="F38" s="28" t="s">
        <v>12</v>
      </c>
      <c r="G38" s="19"/>
      <c r="H38" s="19"/>
      <c r="I38" s="19"/>
    </row>
    <row r="39" spans="2:9" ht="15.7" customHeight="1" x14ac:dyDescent="0.3">
      <c r="B39" s="76">
        <v>30</v>
      </c>
      <c r="C39" s="76"/>
      <c r="D39" s="43" t="s">
        <v>308</v>
      </c>
      <c r="F39" s="28" t="s">
        <v>12</v>
      </c>
      <c r="G39" s="19"/>
      <c r="H39" s="19"/>
      <c r="I39" s="19"/>
    </row>
    <row r="40" spans="2:9" ht="15.7" customHeight="1" x14ac:dyDescent="0.3"/>
    <row r="41" spans="2:9" ht="15.7" customHeight="1" x14ac:dyDescent="0.3">
      <c r="B41" s="77" t="s">
        <v>14</v>
      </c>
      <c r="C41" s="78"/>
      <c r="D41" s="75"/>
      <c r="F41" s="26" t="s">
        <v>1</v>
      </c>
      <c r="G41" s="26" t="s">
        <v>3</v>
      </c>
      <c r="H41" s="26" t="s">
        <v>5</v>
      </c>
      <c r="I41" s="27" t="s">
        <v>10</v>
      </c>
    </row>
    <row r="42" spans="2:9" ht="15.7" customHeight="1" x14ac:dyDescent="0.3">
      <c r="B42" s="76">
        <v>1</v>
      </c>
      <c r="C42" s="76"/>
      <c r="D42" s="43" t="s">
        <v>309</v>
      </c>
      <c r="F42" s="28" t="s">
        <v>12</v>
      </c>
      <c r="G42" s="19"/>
      <c r="H42" s="19"/>
      <c r="I42" s="19"/>
    </row>
    <row r="43" spans="2:9" ht="15.7" customHeight="1" x14ac:dyDescent="0.3">
      <c r="B43" s="76">
        <v>2</v>
      </c>
      <c r="C43" s="76"/>
      <c r="D43" s="43" t="s">
        <v>310</v>
      </c>
      <c r="F43" s="28" t="s">
        <v>12</v>
      </c>
      <c r="G43" s="19"/>
      <c r="H43" s="19"/>
      <c r="I43" s="19"/>
    </row>
    <row r="44" spans="2:9" ht="15.7" customHeight="1" x14ac:dyDescent="0.3">
      <c r="B44" s="76">
        <v>3</v>
      </c>
      <c r="C44" s="76"/>
      <c r="D44" s="43" t="s">
        <v>311</v>
      </c>
      <c r="F44" s="28" t="s">
        <v>12</v>
      </c>
      <c r="G44" s="19"/>
      <c r="H44" s="19"/>
      <c r="I44" s="19"/>
    </row>
    <row r="45" spans="2:9" ht="15.7" customHeight="1" x14ac:dyDescent="0.3">
      <c r="B45" s="76">
        <v>4</v>
      </c>
      <c r="C45" s="76"/>
      <c r="D45" s="43" t="s">
        <v>312</v>
      </c>
      <c r="F45" s="28" t="s">
        <v>12</v>
      </c>
      <c r="G45" s="19"/>
      <c r="H45" s="19"/>
      <c r="I45" s="19"/>
    </row>
    <row r="46" spans="2:9" ht="15.7" customHeight="1" x14ac:dyDescent="0.3">
      <c r="B46" s="76">
        <v>5</v>
      </c>
      <c r="C46" s="76"/>
      <c r="D46" s="43" t="s">
        <v>313</v>
      </c>
      <c r="F46" s="28" t="s">
        <v>12</v>
      </c>
      <c r="G46" s="19"/>
      <c r="H46" s="19"/>
      <c r="I46" s="19"/>
    </row>
    <row r="47" spans="2:9" ht="15.7" customHeight="1" x14ac:dyDescent="0.3">
      <c r="B47" s="76">
        <v>6</v>
      </c>
      <c r="C47" s="76"/>
      <c r="D47" s="43" t="s">
        <v>314</v>
      </c>
      <c r="F47" s="28" t="s">
        <v>12</v>
      </c>
      <c r="G47" s="19"/>
      <c r="H47" s="19"/>
      <c r="I47" s="19"/>
    </row>
    <row r="48" spans="2:9" ht="15.7" customHeight="1" x14ac:dyDescent="0.3">
      <c r="B48" s="76">
        <v>7</v>
      </c>
      <c r="C48" s="76"/>
      <c r="D48" s="43" t="s">
        <v>315</v>
      </c>
      <c r="F48" s="28" t="s">
        <v>12</v>
      </c>
      <c r="G48" s="19"/>
      <c r="H48" s="19"/>
      <c r="I48" s="19"/>
    </row>
    <row r="49" spans="2:9" ht="15.7" customHeight="1" x14ac:dyDescent="0.3">
      <c r="B49" s="76">
        <v>8</v>
      </c>
      <c r="C49" s="76"/>
      <c r="D49" s="43" t="s">
        <v>316</v>
      </c>
      <c r="F49" s="28" t="s">
        <v>12</v>
      </c>
      <c r="G49" s="19"/>
      <c r="H49" s="19"/>
      <c r="I49" s="19"/>
    </row>
    <row r="50" spans="2:9" ht="15.7" customHeight="1" x14ac:dyDescent="0.3">
      <c r="B50" s="76">
        <v>9</v>
      </c>
      <c r="C50" s="76"/>
      <c r="D50" s="43" t="s">
        <v>317</v>
      </c>
      <c r="F50" s="28" t="s">
        <v>12</v>
      </c>
      <c r="G50" s="19"/>
      <c r="H50" s="19"/>
      <c r="I50" s="19"/>
    </row>
    <row r="51" spans="2:9" ht="15.7" customHeight="1" x14ac:dyDescent="0.3">
      <c r="B51" s="76">
        <v>10</v>
      </c>
      <c r="C51" s="76"/>
      <c r="D51" s="43" t="s">
        <v>318</v>
      </c>
      <c r="F51" s="28" t="s">
        <v>12</v>
      </c>
      <c r="G51" s="19"/>
      <c r="H51" s="19"/>
      <c r="I51" s="19"/>
    </row>
    <row r="52" spans="2:9" ht="15.7" customHeight="1" x14ac:dyDescent="0.3">
      <c r="B52" s="76">
        <v>11</v>
      </c>
      <c r="C52" s="76"/>
      <c r="D52" s="43" t="s">
        <v>344</v>
      </c>
      <c r="F52" s="28" t="s">
        <v>12</v>
      </c>
      <c r="G52" s="19"/>
      <c r="H52" s="19"/>
      <c r="I52" s="19"/>
    </row>
    <row r="53" spans="2:9" ht="15.7" customHeight="1" x14ac:dyDescent="0.3">
      <c r="B53" s="76">
        <v>12</v>
      </c>
      <c r="C53" s="76"/>
      <c r="D53" s="43" t="s">
        <v>319</v>
      </c>
      <c r="F53" s="28" t="s">
        <v>12</v>
      </c>
      <c r="G53" s="19"/>
      <c r="H53" s="19"/>
      <c r="I53" s="19"/>
    </row>
    <row r="54" spans="2:9" ht="15.7" customHeight="1" x14ac:dyDescent="0.3">
      <c r="B54" s="76">
        <v>13</v>
      </c>
      <c r="C54" s="76"/>
      <c r="D54" s="43" t="s">
        <v>320</v>
      </c>
      <c r="F54" s="28" t="s">
        <v>12</v>
      </c>
      <c r="G54" s="19"/>
      <c r="H54" s="19"/>
      <c r="I54" s="19"/>
    </row>
    <row r="55" spans="2:9" ht="15.7" customHeight="1" x14ac:dyDescent="0.3">
      <c r="B55" s="76">
        <v>14</v>
      </c>
      <c r="C55" s="76"/>
      <c r="D55" s="43" t="s">
        <v>321</v>
      </c>
      <c r="F55" s="28" t="s">
        <v>12</v>
      </c>
      <c r="G55" s="19"/>
      <c r="H55" s="19"/>
      <c r="I55" s="19"/>
    </row>
    <row r="56" spans="2:9" ht="15.7" customHeight="1" x14ac:dyDescent="0.3">
      <c r="B56" s="76">
        <v>15</v>
      </c>
      <c r="C56" s="76"/>
      <c r="D56" s="43" t="s">
        <v>322</v>
      </c>
      <c r="F56" s="28" t="s">
        <v>12</v>
      </c>
      <c r="G56" s="19"/>
      <c r="H56" s="19"/>
      <c r="I56" s="19"/>
    </row>
    <row r="57" spans="2:9" ht="15.7" customHeight="1" x14ac:dyDescent="0.3">
      <c r="B57" s="76">
        <v>16</v>
      </c>
      <c r="C57" s="76"/>
      <c r="D57" s="43" t="s">
        <v>345</v>
      </c>
      <c r="F57" s="28" t="s">
        <v>12</v>
      </c>
      <c r="G57" s="19"/>
      <c r="H57" s="19"/>
      <c r="I57" s="19"/>
    </row>
    <row r="58" spans="2:9" ht="15.7" customHeight="1" x14ac:dyDescent="0.3">
      <c r="B58" s="76">
        <v>17</v>
      </c>
      <c r="C58" s="76"/>
      <c r="D58" s="43" t="s">
        <v>323</v>
      </c>
      <c r="F58" s="28" t="s">
        <v>12</v>
      </c>
      <c r="G58" s="19"/>
      <c r="H58" s="19"/>
      <c r="I58" s="19"/>
    </row>
    <row r="59" spans="2:9" ht="15.7" customHeight="1" x14ac:dyDescent="0.3">
      <c r="B59" s="76">
        <v>18</v>
      </c>
      <c r="C59" s="76"/>
      <c r="D59" s="43" t="s">
        <v>346</v>
      </c>
      <c r="F59" s="28" t="s">
        <v>12</v>
      </c>
      <c r="G59" s="19"/>
      <c r="H59" s="19"/>
      <c r="I59" s="19"/>
    </row>
    <row r="60" spans="2:9" ht="15.7" customHeight="1" x14ac:dyDescent="0.3">
      <c r="B60" s="76">
        <v>19</v>
      </c>
      <c r="C60" s="76"/>
      <c r="D60" s="43" t="s">
        <v>324</v>
      </c>
      <c r="F60" s="28" t="s">
        <v>12</v>
      </c>
      <c r="G60" s="19"/>
      <c r="H60" s="19"/>
      <c r="I60" s="19"/>
    </row>
    <row r="61" spans="2:9" ht="15.7" customHeight="1" x14ac:dyDescent="0.3">
      <c r="B61" s="76">
        <v>20</v>
      </c>
      <c r="C61" s="76"/>
      <c r="D61" s="43" t="s">
        <v>325</v>
      </c>
      <c r="F61" s="28" t="s">
        <v>12</v>
      </c>
      <c r="G61" s="19"/>
      <c r="H61" s="19"/>
      <c r="I61" s="19"/>
    </row>
    <row r="62" spans="2:9" ht="15.7" customHeight="1" x14ac:dyDescent="0.3">
      <c r="B62" s="76">
        <v>21</v>
      </c>
      <c r="C62" s="76"/>
      <c r="D62" s="43" t="s">
        <v>326</v>
      </c>
      <c r="F62" s="28" t="s">
        <v>12</v>
      </c>
      <c r="G62" s="19"/>
      <c r="H62" s="19"/>
      <c r="I62" s="19"/>
    </row>
    <row r="63" spans="2:9" ht="15.7" customHeight="1" x14ac:dyDescent="0.3">
      <c r="B63" s="76">
        <v>22</v>
      </c>
      <c r="C63" s="76"/>
      <c r="D63" s="43" t="s">
        <v>327</v>
      </c>
      <c r="F63" s="28" t="s">
        <v>12</v>
      </c>
      <c r="G63" s="19"/>
      <c r="H63" s="19"/>
      <c r="I63" s="19"/>
    </row>
    <row r="64" spans="2:9" ht="15.7" customHeight="1" x14ac:dyDescent="0.3">
      <c r="B64" s="76">
        <v>23</v>
      </c>
      <c r="C64" s="76"/>
      <c r="D64" s="43" t="s">
        <v>328</v>
      </c>
      <c r="F64" s="28" t="s">
        <v>12</v>
      </c>
      <c r="G64" s="19"/>
      <c r="H64" s="19"/>
      <c r="I64" s="19"/>
    </row>
    <row r="65" spans="2:9" ht="15.7" customHeight="1" x14ac:dyDescent="0.3">
      <c r="B65" s="76">
        <v>24</v>
      </c>
      <c r="C65" s="76"/>
      <c r="D65" s="43" t="s">
        <v>329</v>
      </c>
      <c r="F65" s="28" t="s">
        <v>12</v>
      </c>
      <c r="G65" s="19"/>
      <c r="H65" s="19"/>
      <c r="I65" s="19"/>
    </row>
    <row r="66" spans="2:9" ht="15.7" customHeight="1" x14ac:dyDescent="0.3">
      <c r="B66" s="76">
        <v>25</v>
      </c>
      <c r="C66" s="76"/>
      <c r="D66" s="43" t="s">
        <v>330</v>
      </c>
      <c r="F66" s="28" t="s">
        <v>12</v>
      </c>
      <c r="G66" s="19"/>
      <c r="H66" s="19"/>
      <c r="I66" s="19"/>
    </row>
    <row r="67" spans="2:9" ht="15.7" customHeight="1" x14ac:dyDescent="0.3">
      <c r="B67" s="76">
        <v>26</v>
      </c>
      <c r="C67" s="76"/>
      <c r="D67" s="43" t="s">
        <v>331</v>
      </c>
      <c r="F67" s="28" t="s">
        <v>12</v>
      </c>
      <c r="G67" s="19"/>
      <c r="H67" s="19"/>
      <c r="I67" s="19"/>
    </row>
    <row r="68" spans="2:9" ht="15.7" customHeight="1" x14ac:dyDescent="0.3">
      <c r="B68" s="76">
        <v>27</v>
      </c>
      <c r="C68" s="76"/>
      <c r="D68" s="43" t="s">
        <v>347</v>
      </c>
      <c r="F68" s="28" t="s">
        <v>12</v>
      </c>
      <c r="G68" s="19"/>
      <c r="H68" s="19"/>
      <c r="I68" s="19"/>
    </row>
    <row r="69" spans="2:9" ht="15.7" customHeight="1" x14ac:dyDescent="0.3">
      <c r="B69" s="76">
        <v>28</v>
      </c>
      <c r="C69" s="76"/>
      <c r="D69" s="43" t="s">
        <v>332</v>
      </c>
      <c r="F69" s="28" t="s">
        <v>12</v>
      </c>
      <c r="G69" s="19"/>
      <c r="H69" s="19"/>
      <c r="I69" s="19"/>
    </row>
    <row r="70" spans="2:9" ht="15.7" customHeight="1" x14ac:dyDescent="0.3">
      <c r="B70" s="76">
        <v>29</v>
      </c>
      <c r="C70" s="76"/>
      <c r="D70" s="43" t="s">
        <v>348</v>
      </c>
      <c r="F70" s="28" t="s">
        <v>12</v>
      </c>
      <c r="G70" s="19"/>
      <c r="H70" s="19"/>
      <c r="I70" s="19"/>
    </row>
    <row r="71" spans="2:9" ht="15.7" customHeight="1" x14ac:dyDescent="0.3">
      <c r="B71" s="76">
        <v>30</v>
      </c>
      <c r="C71" s="76"/>
      <c r="D71" s="43" t="s">
        <v>333</v>
      </c>
      <c r="F71" s="28" t="s">
        <v>12</v>
      </c>
      <c r="G71" s="19"/>
      <c r="H71" s="19"/>
      <c r="I71" s="19"/>
    </row>
    <row r="72" spans="2:9" ht="15.7" customHeight="1" x14ac:dyDescent="0.3">
      <c r="B72" s="76">
        <v>31</v>
      </c>
      <c r="C72" s="76"/>
      <c r="D72" s="43" t="s">
        <v>334</v>
      </c>
      <c r="F72" s="28" t="s">
        <v>12</v>
      </c>
      <c r="G72" s="19"/>
      <c r="H72" s="19"/>
      <c r="I72" s="19"/>
    </row>
    <row r="73" spans="2:9" ht="15.7" customHeight="1" x14ac:dyDescent="0.3">
      <c r="B73" s="76">
        <v>32</v>
      </c>
      <c r="C73" s="76"/>
      <c r="D73" s="43" t="s">
        <v>335</v>
      </c>
      <c r="F73" s="28" t="s">
        <v>12</v>
      </c>
      <c r="G73" s="19"/>
      <c r="H73" s="19"/>
      <c r="I73" s="19"/>
    </row>
    <row r="74" spans="2:9" ht="15.7" customHeight="1" x14ac:dyDescent="0.3">
      <c r="B74" s="76">
        <v>33</v>
      </c>
      <c r="C74" s="76"/>
      <c r="D74" s="43" t="s">
        <v>336</v>
      </c>
      <c r="F74" s="28" t="s">
        <v>12</v>
      </c>
      <c r="G74" s="19"/>
      <c r="H74" s="19"/>
      <c r="I74" s="19"/>
    </row>
    <row r="75" spans="2:9" ht="15.7" customHeight="1" x14ac:dyDescent="0.3">
      <c r="B75" s="76">
        <v>34</v>
      </c>
      <c r="C75" s="76"/>
      <c r="D75" s="43" t="s">
        <v>337</v>
      </c>
      <c r="F75" s="28" t="s">
        <v>12</v>
      </c>
      <c r="G75" s="19"/>
      <c r="H75" s="19"/>
      <c r="I75" s="19"/>
    </row>
    <row r="76" spans="2:9" ht="15.7" customHeight="1" x14ac:dyDescent="0.3">
      <c r="B76" s="76">
        <v>35</v>
      </c>
      <c r="C76" s="76"/>
      <c r="D76" s="43" t="s">
        <v>338</v>
      </c>
      <c r="F76" s="28" t="s">
        <v>12</v>
      </c>
      <c r="G76" s="19"/>
      <c r="H76" s="19"/>
      <c r="I76" s="19"/>
    </row>
    <row r="77" spans="2:9" ht="15.7" customHeight="1" x14ac:dyDescent="0.3">
      <c r="B77" s="76">
        <v>36</v>
      </c>
      <c r="C77" s="76"/>
      <c r="D77" s="43" t="s">
        <v>339</v>
      </c>
      <c r="F77" s="28" t="s">
        <v>12</v>
      </c>
      <c r="G77" s="19"/>
      <c r="H77" s="19"/>
      <c r="I77" s="19"/>
    </row>
    <row r="78" spans="2:9" ht="15.7" customHeight="1" x14ac:dyDescent="0.3">
      <c r="B78" s="76">
        <v>37</v>
      </c>
      <c r="C78" s="76"/>
      <c r="D78" s="43" t="s">
        <v>340</v>
      </c>
      <c r="F78" s="28" t="s">
        <v>12</v>
      </c>
      <c r="G78" s="19"/>
      <c r="H78" s="19"/>
      <c r="I78" s="19"/>
    </row>
    <row r="79" spans="2:9" ht="15.7" customHeight="1" x14ac:dyDescent="0.3">
      <c r="B79" s="76">
        <v>38</v>
      </c>
      <c r="C79" s="76"/>
      <c r="D79" s="43" t="s">
        <v>341</v>
      </c>
      <c r="F79" s="28" t="s">
        <v>12</v>
      </c>
      <c r="G79" s="19"/>
      <c r="H79" s="19"/>
      <c r="I79" s="19"/>
    </row>
    <row r="80" spans="2:9" ht="15" customHeight="1" x14ac:dyDescent="0.3">
      <c r="B80" s="76">
        <v>39</v>
      </c>
      <c r="C80" s="76"/>
      <c r="D80" s="43" t="s">
        <v>342</v>
      </c>
      <c r="F80" s="28" t="s">
        <v>12</v>
      </c>
      <c r="G80" s="19"/>
      <c r="H80" s="19"/>
      <c r="I80" s="19"/>
    </row>
    <row r="81" spans="2:9" ht="15.7" customHeight="1" x14ac:dyDescent="0.3">
      <c r="B81" s="76">
        <v>40</v>
      </c>
      <c r="C81" s="76"/>
      <c r="D81" s="43" t="s">
        <v>343</v>
      </c>
      <c r="F81" s="28" t="s">
        <v>12</v>
      </c>
      <c r="G81" s="19"/>
      <c r="H81" s="19"/>
      <c r="I81" s="19"/>
    </row>
    <row r="82" spans="2:9" ht="15.7" customHeight="1" x14ac:dyDescent="0.3"/>
    <row r="83" spans="2:9" ht="15.7" customHeight="1" x14ac:dyDescent="0.3"/>
    <row r="84" spans="2:9" ht="15.7" customHeight="1" x14ac:dyDescent="0.3"/>
    <row r="85" spans="2:9" ht="15.7" customHeight="1" x14ac:dyDescent="0.3"/>
    <row r="86" spans="2:9" ht="15.7" customHeight="1" x14ac:dyDescent="0.3"/>
    <row r="87" spans="2:9" ht="15.7" customHeight="1" x14ac:dyDescent="0.3"/>
    <row r="88" spans="2:9" ht="15.7" customHeight="1" x14ac:dyDescent="0.3"/>
    <row r="89" spans="2:9" ht="15.7" customHeight="1" x14ac:dyDescent="0.3"/>
    <row r="90" spans="2:9" ht="15.7" customHeight="1" x14ac:dyDescent="0.3"/>
    <row r="91" spans="2:9" ht="15.7" customHeight="1" x14ac:dyDescent="0.3"/>
    <row r="92" spans="2:9" ht="15.7" customHeight="1" x14ac:dyDescent="0.3"/>
    <row r="93" spans="2:9" ht="15.7" customHeight="1" x14ac:dyDescent="0.3"/>
    <row r="94" spans="2:9" ht="15.7" customHeight="1" x14ac:dyDescent="0.3"/>
    <row r="95" spans="2:9" ht="15.7" customHeight="1" x14ac:dyDescent="0.3"/>
    <row r="96" spans="2:9" ht="15.7" customHeight="1" x14ac:dyDescent="0.3"/>
    <row r="97" ht="15.7" customHeight="1" x14ac:dyDescent="0.3"/>
    <row r="98" ht="15.7" customHeight="1" x14ac:dyDescent="0.3"/>
    <row r="99" ht="15.7" customHeight="1" x14ac:dyDescent="0.3"/>
    <row r="100" ht="15.7" customHeight="1" x14ac:dyDescent="0.3"/>
    <row r="101" ht="15.7" customHeight="1" x14ac:dyDescent="0.3"/>
    <row r="102" ht="15.7" customHeight="1" x14ac:dyDescent="0.3"/>
    <row r="103" ht="15.7" customHeight="1" x14ac:dyDescent="0.3"/>
    <row r="104" ht="15.7" customHeight="1" x14ac:dyDescent="0.3"/>
    <row r="105" ht="15.7" customHeight="1" x14ac:dyDescent="0.3"/>
    <row r="106" ht="15.7" customHeight="1" x14ac:dyDescent="0.3"/>
    <row r="107" ht="15.7" customHeight="1" x14ac:dyDescent="0.3"/>
    <row r="108" ht="15.7" customHeight="1" x14ac:dyDescent="0.3"/>
    <row r="109" ht="15.7" customHeight="1" x14ac:dyDescent="0.3"/>
    <row r="110" ht="15.7" customHeight="1" x14ac:dyDescent="0.3"/>
    <row r="111" ht="15.7" customHeight="1" x14ac:dyDescent="0.3"/>
    <row r="112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</sheetData>
  <mergeCells count="77">
    <mergeCell ref="B81:C81"/>
    <mergeCell ref="B56:C56"/>
    <mergeCell ref="B57:C57"/>
    <mergeCell ref="B58:C58"/>
    <mergeCell ref="B59:C59"/>
    <mergeCell ref="B80:C80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41:D41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30:C30"/>
    <mergeCell ref="B31:C31"/>
    <mergeCell ref="B33:C33"/>
    <mergeCell ref="B34:C34"/>
    <mergeCell ref="B9:D9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2:I2"/>
    <mergeCell ref="C3:D3"/>
    <mergeCell ref="C4:D4"/>
    <mergeCell ref="C5:D5"/>
    <mergeCell ref="B6:C6"/>
    <mergeCell ref="B39:C39"/>
    <mergeCell ref="B32:C32"/>
    <mergeCell ref="B35:C35"/>
    <mergeCell ref="B36:C36"/>
    <mergeCell ref="B37:C37"/>
    <mergeCell ref="B38:C38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43BA-53D2-4739-84A5-ADD4D8387152}">
  <sheetPr>
    <tabColor theme="8" tint="0.59996337778862885"/>
  </sheetPr>
  <dimension ref="B1:I1021"/>
  <sheetViews>
    <sheetView topLeftCell="A30" zoomScaleNormal="100" workbookViewId="0">
      <selection activeCell="D61" sqref="D61"/>
    </sheetView>
  </sheetViews>
  <sheetFormatPr baseColWidth="10" defaultColWidth="14.3984375" defaultRowHeight="14.4" x14ac:dyDescent="0.3"/>
  <cols>
    <col min="1" max="1" width="9.09765625" customWidth="1"/>
    <col min="2" max="2" width="9.8984375" customWidth="1"/>
    <col min="3" max="3" width="8" customWidth="1"/>
    <col min="4" max="4" width="143" customWidth="1"/>
    <col min="5" max="5" width="5.59765625" customWidth="1"/>
    <col min="6" max="6" width="15.69921875" customWidth="1"/>
    <col min="7" max="7" width="15.59765625" customWidth="1"/>
    <col min="8" max="8" width="12.09765625" customWidth="1"/>
    <col min="9" max="9" width="47.296875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85" t="s">
        <v>45</v>
      </c>
      <c r="C2" s="78"/>
      <c r="D2" s="78"/>
      <c r="E2" s="78"/>
      <c r="F2" s="78"/>
      <c r="G2" s="78"/>
      <c r="H2" s="78"/>
      <c r="I2" s="80"/>
    </row>
    <row r="3" spans="2:9" x14ac:dyDescent="0.3">
      <c r="B3" s="15" t="s">
        <v>1</v>
      </c>
      <c r="C3" s="5" t="s">
        <v>2</v>
      </c>
      <c r="D3" s="1"/>
      <c r="E3" s="1"/>
      <c r="F3" s="1"/>
      <c r="G3" s="1"/>
      <c r="H3" s="1"/>
      <c r="I3" s="11"/>
    </row>
    <row r="4" spans="2:9" x14ac:dyDescent="0.3">
      <c r="B4" s="15" t="s">
        <v>3</v>
      </c>
      <c r="C4" s="5" t="s">
        <v>4</v>
      </c>
      <c r="D4" s="1"/>
      <c r="E4" s="1"/>
      <c r="F4" s="1"/>
      <c r="G4" s="1"/>
      <c r="H4" s="1"/>
      <c r="I4" s="11"/>
    </row>
    <row r="5" spans="2:9" x14ac:dyDescent="0.3">
      <c r="B5" s="15" t="s">
        <v>5</v>
      </c>
      <c r="C5" s="5" t="s">
        <v>6</v>
      </c>
      <c r="D5" s="1"/>
      <c r="E5" s="1"/>
      <c r="F5" s="1"/>
      <c r="G5" s="1"/>
      <c r="H5" s="1"/>
      <c r="I5" s="11"/>
    </row>
    <row r="6" spans="2:9" x14ac:dyDescent="0.3">
      <c r="B6" s="16" t="s">
        <v>7</v>
      </c>
      <c r="C6" s="17" t="s">
        <v>8</v>
      </c>
      <c r="D6" s="13"/>
      <c r="E6" s="13"/>
      <c r="F6" s="13"/>
      <c r="G6" s="13"/>
      <c r="H6" s="13"/>
      <c r="I6" s="14"/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74" t="s">
        <v>11</v>
      </c>
      <c r="D9" s="73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">
        <v>1</v>
      </c>
      <c r="D10" s="29" t="s">
        <v>375</v>
      </c>
      <c r="F10" s="24" t="s">
        <v>12</v>
      </c>
      <c r="G10" s="3"/>
      <c r="H10" s="3"/>
      <c r="I10" s="3"/>
    </row>
    <row r="11" spans="2:9" x14ac:dyDescent="0.3">
      <c r="C11" s="2">
        <v>2</v>
      </c>
      <c r="D11" s="29" t="s">
        <v>376</v>
      </c>
      <c r="F11" s="24" t="s">
        <v>12</v>
      </c>
      <c r="G11" s="3"/>
      <c r="H11" s="3"/>
      <c r="I11" s="3"/>
    </row>
    <row r="12" spans="2:9" x14ac:dyDescent="0.3">
      <c r="C12" s="2">
        <v>3</v>
      </c>
      <c r="D12" s="29" t="s">
        <v>349</v>
      </c>
      <c r="F12" s="24" t="s">
        <v>12</v>
      </c>
      <c r="G12" s="3"/>
      <c r="H12" s="3"/>
      <c r="I12" s="3"/>
    </row>
    <row r="13" spans="2:9" x14ac:dyDescent="0.3">
      <c r="C13" s="2">
        <v>4</v>
      </c>
      <c r="D13" s="29" t="s">
        <v>377</v>
      </c>
      <c r="F13" s="24" t="s">
        <v>12</v>
      </c>
      <c r="G13" s="3"/>
      <c r="H13" s="3"/>
      <c r="I13" s="3"/>
    </row>
    <row r="14" spans="2:9" x14ac:dyDescent="0.3">
      <c r="C14" s="2">
        <v>5</v>
      </c>
      <c r="D14" s="29" t="s">
        <v>378</v>
      </c>
      <c r="F14" s="24" t="s">
        <v>12</v>
      </c>
      <c r="G14" s="3"/>
      <c r="H14" s="3"/>
      <c r="I14" s="3"/>
    </row>
    <row r="15" spans="2:9" x14ac:dyDescent="0.3">
      <c r="C15" s="2">
        <v>6</v>
      </c>
      <c r="D15" s="29" t="s">
        <v>350</v>
      </c>
      <c r="F15" s="24" t="s">
        <v>12</v>
      </c>
      <c r="G15" s="3"/>
      <c r="H15" s="3"/>
      <c r="I15" s="3"/>
    </row>
    <row r="16" spans="2:9" x14ac:dyDescent="0.3">
      <c r="C16" s="2">
        <v>7</v>
      </c>
      <c r="D16" s="29" t="s">
        <v>351</v>
      </c>
      <c r="F16" s="24" t="s">
        <v>12</v>
      </c>
      <c r="G16" s="3"/>
      <c r="H16" s="3"/>
      <c r="I16" s="3"/>
    </row>
    <row r="17" spans="3:9" x14ac:dyDescent="0.3">
      <c r="C17" s="2">
        <v>8</v>
      </c>
      <c r="D17" s="29" t="s">
        <v>379</v>
      </c>
      <c r="F17" s="24" t="s">
        <v>12</v>
      </c>
      <c r="G17" s="3"/>
      <c r="H17" s="3"/>
      <c r="I17" s="3"/>
    </row>
    <row r="18" spans="3:9" x14ac:dyDescent="0.3">
      <c r="C18" s="2">
        <v>9</v>
      </c>
      <c r="D18" s="29" t="s">
        <v>352</v>
      </c>
      <c r="F18" s="24" t="s">
        <v>12</v>
      </c>
      <c r="G18" s="3"/>
      <c r="H18" s="3"/>
      <c r="I18" s="3"/>
    </row>
    <row r="19" spans="3:9" x14ac:dyDescent="0.3">
      <c r="C19" s="2">
        <v>10</v>
      </c>
      <c r="D19" s="29" t="s">
        <v>353</v>
      </c>
      <c r="F19" s="24" t="s">
        <v>12</v>
      </c>
      <c r="G19" s="3"/>
      <c r="H19" s="3"/>
      <c r="I19" s="3"/>
    </row>
    <row r="20" spans="3:9" x14ac:dyDescent="0.3">
      <c r="C20" s="2">
        <v>11</v>
      </c>
      <c r="D20" s="29" t="s">
        <v>354</v>
      </c>
      <c r="F20" s="24" t="s">
        <v>12</v>
      </c>
      <c r="G20" s="3"/>
      <c r="H20" s="3"/>
      <c r="I20" s="3"/>
    </row>
    <row r="21" spans="3:9" ht="15.7" customHeight="1" x14ac:dyDescent="0.3">
      <c r="C21" s="2">
        <v>12</v>
      </c>
      <c r="D21" s="29" t="s">
        <v>355</v>
      </c>
      <c r="F21" s="24" t="s">
        <v>12</v>
      </c>
      <c r="G21" s="3"/>
      <c r="H21" s="3"/>
      <c r="I21" s="3"/>
    </row>
    <row r="22" spans="3:9" ht="15.7" customHeight="1" x14ac:dyDescent="0.3">
      <c r="C22" s="2">
        <v>13</v>
      </c>
      <c r="D22" s="29" t="s">
        <v>356</v>
      </c>
      <c r="F22" s="24" t="s">
        <v>12</v>
      </c>
      <c r="G22" s="3"/>
      <c r="H22" s="3"/>
      <c r="I22" s="3"/>
    </row>
    <row r="23" spans="3:9" ht="15.7" customHeight="1" x14ac:dyDescent="0.3">
      <c r="C23" s="2">
        <v>14</v>
      </c>
      <c r="D23" s="29" t="s">
        <v>357</v>
      </c>
      <c r="F23" s="24" t="s">
        <v>12</v>
      </c>
      <c r="G23" s="3"/>
      <c r="H23" s="3"/>
      <c r="I23" s="3"/>
    </row>
    <row r="24" spans="3:9" ht="15.7" customHeight="1" x14ac:dyDescent="0.3">
      <c r="C24" s="2">
        <v>15</v>
      </c>
      <c r="D24" s="29" t="s">
        <v>358</v>
      </c>
      <c r="F24" s="24" t="s">
        <v>12</v>
      </c>
      <c r="G24" s="3"/>
      <c r="H24" s="3"/>
      <c r="I24" s="3"/>
    </row>
    <row r="25" spans="3:9" ht="15.7" customHeight="1" x14ac:dyDescent="0.3">
      <c r="C25" s="2">
        <v>16</v>
      </c>
      <c r="D25" s="29" t="s">
        <v>380</v>
      </c>
      <c r="F25" s="24" t="s">
        <v>12</v>
      </c>
      <c r="G25" s="3"/>
      <c r="H25" s="3"/>
      <c r="I25" s="3"/>
    </row>
    <row r="26" spans="3:9" ht="15.7" customHeight="1" x14ac:dyDescent="0.3">
      <c r="C26" s="2">
        <v>17</v>
      </c>
      <c r="D26" s="29" t="s">
        <v>359</v>
      </c>
      <c r="F26" s="24" t="s">
        <v>12</v>
      </c>
      <c r="G26" s="3"/>
      <c r="H26" s="3"/>
      <c r="I26" s="3"/>
    </row>
    <row r="27" spans="3:9" ht="15.7" customHeight="1" x14ac:dyDescent="0.3">
      <c r="C27" s="2">
        <v>18</v>
      </c>
      <c r="D27" s="29" t="s">
        <v>360</v>
      </c>
      <c r="F27" s="24" t="s">
        <v>12</v>
      </c>
      <c r="G27" s="3"/>
      <c r="H27" s="3"/>
      <c r="I27" s="3"/>
    </row>
    <row r="28" spans="3:9" ht="15.7" customHeight="1" x14ac:dyDescent="0.3">
      <c r="C28" s="2">
        <v>19</v>
      </c>
      <c r="D28" s="29" t="s">
        <v>361</v>
      </c>
      <c r="F28" s="24" t="s">
        <v>12</v>
      </c>
      <c r="G28" s="3"/>
      <c r="H28" s="3"/>
      <c r="I28" s="3"/>
    </row>
    <row r="29" spans="3:9" ht="15.7" customHeight="1" x14ac:dyDescent="0.3">
      <c r="C29" s="2">
        <v>20</v>
      </c>
      <c r="D29" s="8" t="s">
        <v>381</v>
      </c>
      <c r="F29" s="24" t="s">
        <v>12</v>
      </c>
      <c r="G29" s="3"/>
      <c r="H29" s="3"/>
      <c r="I29" s="3"/>
    </row>
    <row r="30" spans="3:9" ht="15.7" customHeight="1" x14ac:dyDescent="0.3">
      <c r="C30" s="2">
        <v>21</v>
      </c>
      <c r="D30" s="8" t="s">
        <v>362</v>
      </c>
      <c r="F30" s="24" t="s">
        <v>12</v>
      </c>
      <c r="G30" s="3"/>
      <c r="H30" s="3"/>
      <c r="I30" s="3"/>
    </row>
    <row r="31" spans="3:9" ht="15.7" customHeight="1" x14ac:dyDescent="0.3">
      <c r="C31" s="2">
        <v>22</v>
      </c>
      <c r="D31" s="8" t="s">
        <v>382</v>
      </c>
      <c r="F31" s="24" t="s">
        <v>12</v>
      </c>
      <c r="G31" s="3"/>
      <c r="H31" s="3"/>
      <c r="I31" s="3"/>
    </row>
    <row r="32" spans="3:9" ht="15.7" customHeight="1" x14ac:dyDescent="0.3">
      <c r="C32" s="2">
        <v>23</v>
      </c>
      <c r="D32" s="8" t="s">
        <v>363</v>
      </c>
      <c r="F32" s="24" t="s">
        <v>12</v>
      </c>
      <c r="G32" s="3"/>
      <c r="H32" s="3"/>
      <c r="I32" s="3"/>
    </row>
    <row r="33" spans="3:9" ht="15.7" customHeight="1" x14ac:dyDescent="0.3">
      <c r="C33" s="2">
        <v>24</v>
      </c>
      <c r="D33" s="8" t="s">
        <v>364</v>
      </c>
      <c r="F33" s="24" t="s">
        <v>12</v>
      </c>
      <c r="G33" s="3"/>
      <c r="H33" s="3"/>
      <c r="I33" s="3"/>
    </row>
    <row r="34" spans="3:9" ht="15.7" customHeight="1" x14ac:dyDescent="0.3">
      <c r="C34" s="2">
        <v>25</v>
      </c>
      <c r="D34" s="8" t="s">
        <v>365</v>
      </c>
      <c r="F34" s="24" t="s">
        <v>12</v>
      </c>
      <c r="G34" s="3"/>
      <c r="H34" s="3"/>
      <c r="I34" s="3"/>
    </row>
    <row r="35" spans="3:9" ht="15.7" customHeight="1" x14ac:dyDescent="0.3">
      <c r="C35" s="2">
        <v>26</v>
      </c>
      <c r="D35" s="8" t="s">
        <v>383</v>
      </c>
      <c r="F35" s="24" t="s">
        <v>12</v>
      </c>
      <c r="G35" s="3"/>
      <c r="H35" s="3"/>
      <c r="I35" s="3"/>
    </row>
    <row r="36" spans="3:9" ht="15.7" customHeight="1" x14ac:dyDescent="0.3">
      <c r="C36" s="2">
        <v>27</v>
      </c>
      <c r="D36" s="8" t="s">
        <v>366</v>
      </c>
      <c r="F36" s="24" t="s">
        <v>12</v>
      </c>
      <c r="G36" s="3"/>
      <c r="H36" s="3"/>
      <c r="I36" s="3"/>
    </row>
    <row r="37" spans="3:9" ht="15.7" customHeight="1" x14ac:dyDescent="0.3">
      <c r="C37" s="2">
        <v>28</v>
      </c>
      <c r="D37" s="8" t="s">
        <v>367</v>
      </c>
      <c r="F37" s="24" t="s">
        <v>12</v>
      </c>
      <c r="G37" s="3"/>
      <c r="H37" s="3"/>
      <c r="I37" s="3"/>
    </row>
    <row r="38" spans="3:9" ht="15.7" customHeight="1" x14ac:dyDescent="0.3">
      <c r="C38" s="2">
        <v>29</v>
      </c>
      <c r="D38" s="8" t="s">
        <v>368</v>
      </c>
      <c r="F38" s="24" t="s">
        <v>12</v>
      </c>
      <c r="G38" s="3"/>
      <c r="H38" s="3"/>
      <c r="I38" s="3"/>
    </row>
    <row r="39" spans="3:9" ht="15.7" customHeight="1" x14ac:dyDescent="0.3">
      <c r="C39" s="2">
        <v>30</v>
      </c>
      <c r="D39" s="8" t="s">
        <v>369</v>
      </c>
      <c r="F39" s="24" t="s">
        <v>12</v>
      </c>
      <c r="G39" s="3"/>
      <c r="H39" s="3"/>
      <c r="I39" s="3"/>
    </row>
    <row r="40" spans="3:9" ht="16.600000000000001" customHeight="1" x14ac:dyDescent="0.3">
      <c r="C40" s="2">
        <v>31</v>
      </c>
      <c r="D40" s="8" t="s">
        <v>370</v>
      </c>
      <c r="F40" s="24" t="s">
        <v>12</v>
      </c>
      <c r="G40" s="3"/>
      <c r="H40" s="3"/>
      <c r="I40" s="3"/>
    </row>
    <row r="41" spans="3:9" ht="16.600000000000001" customHeight="1" x14ac:dyDescent="0.3">
      <c r="C41" s="2">
        <v>32</v>
      </c>
      <c r="D41" s="8" t="s">
        <v>371</v>
      </c>
      <c r="F41" s="24" t="s">
        <v>12</v>
      </c>
      <c r="G41" s="3"/>
      <c r="H41" s="3"/>
      <c r="I41" s="3"/>
    </row>
    <row r="42" spans="3:9" ht="16.600000000000001" customHeight="1" x14ac:dyDescent="0.3">
      <c r="C42" s="2">
        <v>33</v>
      </c>
      <c r="D42" s="8" t="s">
        <v>372</v>
      </c>
      <c r="F42" s="24" t="s">
        <v>12</v>
      </c>
      <c r="G42" s="3"/>
      <c r="H42" s="3"/>
      <c r="I42" s="3"/>
    </row>
    <row r="43" spans="3:9" ht="16.600000000000001" customHeight="1" x14ac:dyDescent="0.3">
      <c r="C43" s="2">
        <v>34</v>
      </c>
      <c r="D43" s="8" t="s">
        <v>373</v>
      </c>
      <c r="F43" s="24" t="s">
        <v>12</v>
      </c>
      <c r="G43" s="3"/>
      <c r="H43" s="3"/>
      <c r="I43" s="3"/>
    </row>
    <row r="44" spans="3:9" ht="16.600000000000001" customHeight="1" x14ac:dyDescent="0.3">
      <c r="C44" s="2">
        <v>35</v>
      </c>
      <c r="D44" s="8" t="s">
        <v>374</v>
      </c>
      <c r="F44" s="24" t="s">
        <v>12</v>
      </c>
      <c r="G44" s="3"/>
      <c r="H44" s="3"/>
      <c r="I44" s="3"/>
    </row>
    <row r="45" spans="3:9" ht="15.7" customHeight="1" x14ac:dyDescent="0.3"/>
    <row r="46" spans="3:9" ht="15.7" customHeight="1" x14ac:dyDescent="0.3"/>
    <row r="47" spans="3:9" ht="15.7" customHeight="1" x14ac:dyDescent="0.3"/>
    <row r="48" spans="3:9" ht="15.7" customHeight="1" x14ac:dyDescent="0.3">
      <c r="C48" s="86" t="s">
        <v>14</v>
      </c>
      <c r="D48" s="87"/>
      <c r="F48" s="6" t="s">
        <v>1</v>
      </c>
      <c r="G48" s="6" t="s">
        <v>3</v>
      </c>
      <c r="H48" s="6" t="s">
        <v>5</v>
      </c>
      <c r="I48" s="6" t="s">
        <v>10</v>
      </c>
    </row>
    <row r="49" spans="3:9" ht="15.7" customHeight="1" x14ac:dyDescent="0.3">
      <c r="C49" s="60">
        <v>1</v>
      </c>
      <c r="D49" s="43" t="s">
        <v>384</v>
      </c>
      <c r="F49" s="24" t="s">
        <v>12</v>
      </c>
      <c r="G49" s="3"/>
      <c r="H49" s="3"/>
      <c r="I49" s="3"/>
    </row>
    <row r="50" spans="3:9" ht="15.7" customHeight="1" x14ac:dyDescent="0.3">
      <c r="C50" s="34">
        <v>2</v>
      </c>
      <c r="D50" s="43" t="s">
        <v>385</v>
      </c>
      <c r="F50" s="24" t="s">
        <v>12</v>
      </c>
      <c r="G50" s="3"/>
      <c r="H50" s="3"/>
      <c r="I50" s="3"/>
    </row>
    <row r="51" spans="3:9" ht="15.7" customHeight="1" x14ac:dyDescent="0.3">
      <c r="C51" s="31">
        <v>3</v>
      </c>
      <c r="D51" s="43" t="s">
        <v>386</v>
      </c>
      <c r="F51" s="24" t="s">
        <v>12</v>
      </c>
      <c r="G51" s="3"/>
      <c r="H51" s="3"/>
      <c r="I51" s="3"/>
    </row>
    <row r="52" spans="3:9" ht="15.7" customHeight="1" x14ac:dyDescent="0.3">
      <c r="C52" s="60">
        <v>4</v>
      </c>
      <c r="D52" s="43" t="s">
        <v>387</v>
      </c>
      <c r="F52" s="24" t="s">
        <v>12</v>
      </c>
      <c r="G52" s="3"/>
      <c r="H52" s="3"/>
      <c r="I52" s="3"/>
    </row>
    <row r="53" spans="3:9" ht="15.7" customHeight="1" x14ac:dyDescent="0.3">
      <c r="C53" s="34">
        <v>5</v>
      </c>
      <c r="D53" s="43" t="s">
        <v>388</v>
      </c>
      <c r="F53" s="24" t="s">
        <v>12</v>
      </c>
      <c r="G53" s="3"/>
      <c r="H53" s="3"/>
      <c r="I53" s="3"/>
    </row>
    <row r="54" spans="3:9" ht="15.7" customHeight="1" x14ac:dyDescent="0.3">
      <c r="C54" s="31">
        <v>6</v>
      </c>
      <c r="D54" s="43" t="s">
        <v>389</v>
      </c>
      <c r="F54" s="24" t="s">
        <v>12</v>
      </c>
      <c r="G54" s="3"/>
      <c r="H54" s="3"/>
      <c r="I54" s="3"/>
    </row>
    <row r="55" spans="3:9" ht="15.7" customHeight="1" x14ac:dyDescent="0.3">
      <c r="C55" s="60">
        <v>7</v>
      </c>
      <c r="D55" s="43" t="s">
        <v>390</v>
      </c>
      <c r="F55" s="24" t="s">
        <v>12</v>
      </c>
      <c r="G55" s="3"/>
      <c r="H55" s="3"/>
      <c r="I55" s="3"/>
    </row>
    <row r="56" spans="3:9" ht="15.7" customHeight="1" x14ac:dyDescent="0.3">
      <c r="C56" s="34">
        <v>8</v>
      </c>
      <c r="D56" s="43" t="s">
        <v>391</v>
      </c>
      <c r="F56" s="24" t="s">
        <v>12</v>
      </c>
      <c r="G56" s="3"/>
      <c r="H56" s="3"/>
      <c r="I56" s="3"/>
    </row>
    <row r="57" spans="3:9" ht="15.7" customHeight="1" x14ac:dyDescent="0.3">
      <c r="C57" s="31">
        <v>9</v>
      </c>
      <c r="D57" s="43" t="s">
        <v>392</v>
      </c>
      <c r="F57" s="24" t="s">
        <v>12</v>
      </c>
      <c r="G57" s="3"/>
      <c r="H57" s="3"/>
      <c r="I57" s="3"/>
    </row>
    <row r="58" spans="3:9" ht="15.7" customHeight="1" x14ac:dyDescent="0.3">
      <c r="C58" s="60">
        <v>10</v>
      </c>
      <c r="D58" s="43" t="s">
        <v>393</v>
      </c>
      <c r="F58" s="24" t="s">
        <v>12</v>
      </c>
      <c r="G58" s="3"/>
      <c r="H58" s="3"/>
      <c r="I58" s="3"/>
    </row>
    <row r="59" spans="3:9" ht="15.7" customHeight="1" x14ac:dyDescent="0.3">
      <c r="C59" s="34">
        <v>11</v>
      </c>
      <c r="D59" s="43" t="s">
        <v>394</v>
      </c>
      <c r="F59" s="24" t="s">
        <v>12</v>
      </c>
      <c r="G59" s="3"/>
      <c r="H59" s="3"/>
      <c r="I59" s="3"/>
    </row>
    <row r="60" spans="3:9" ht="15.7" customHeight="1" x14ac:dyDescent="0.3">
      <c r="C60" s="31">
        <v>12</v>
      </c>
      <c r="D60" s="43" t="s">
        <v>395</v>
      </c>
      <c r="F60" s="24" t="s">
        <v>12</v>
      </c>
      <c r="G60" s="3"/>
      <c r="H60" s="3"/>
      <c r="I60" s="3"/>
    </row>
    <row r="61" spans="3:9" ht="15.7" customHeight="1" x14ac:dyDescent="0.3">
      <c r="C61" s="60">
        <v>13</v>
      </c>
      <c r="D61" s="43" t="s">
        <v>396</v>
      </c>
      <c r="F61" s="24" t="s">
        <v>12</v>
      </c>
      <c r="G61" s="3"/>
      <c r="H61" s="3"/>
      <c r="I61" s="3"/>
    </row>
    <row r="62" spans="3:9" ht="15.7" customHeight="1" x14ac:dyDescent="0.3">
      <c r="C62" s="34">
        <v>14</v>
      </c>
      <c r="D62" s="43" t="s">
        <v>397</v>
      </c>
      <c r="F62" s="24" t="s">
        <v>12</v>
      </c>
      <c r="G62" s="3"/>
      <c r="H62" s="3"/>
      <c r="I62" s="3"/>
    </row>
    <row r="63" spans="3:9" ht="15.7" customHeight="1" x14ac:dyDescent="0.3">
      <c r="C63" s="31">
        <v>15</v>
      </c>
      <c r="D63" s="43" t="s">
        <v>398</v>
      </c>
      <c r="F63" s="24" t="s">
        <v>12</v>
      </c>
      <c r="G63" s="3"/>
      <c r="H63" s="3"/>
      <c r="I63" s="3"/>
    </row>
    <row r="64" spans="3:9" ht="15.7" customHeight="1" x14ac:dyDescent="0.3">
      <c r="C64" s="60">
        <v>16</v>
      </c>
      <c r="D64" s="43" t="s">
        <v>399</v>
      </c>
      <c r="F64" s="24" t="s">
        <v>12</v>
      </c>
      <c r="G64" s="3"/>
      <c r="H64" s="3"/>
      <c r="I64" s="3"/>
    </row>
    <row r="65" spans="3:9" ht="15.7" customHeight="1" x14ac:dyDescent="0.3">
      <c r="C65" s="34">
        <v>17</v>
      </c>
      <c r="D65" s="43" t="s">
        <v>400</v>
      </c>
      <c r="F65" s="24" t="s">
        <v>12</v>
      </c>
      <c r="G65" s="3"/>
      <c r="H65" s="3"/>
      <c r="I65" s="3"/>
    </row>
    <row r="66" spans="3:9" ht="15.7" customHeight="1" x14ac:dyDescent="0.3">
      <c r="C66" s="31">
        <v>18</v>
      </c>
      <c r="D66" s="43" t="s">
        <v>401</v>
      </c>
      <c r="F66" s="24" t="s">
        <v>12</v>
      </c>
      <c r="G66" s="3"/>
      <c r="H66" s="3"/>
      <c r="I66" s="3"/>
    </row>
    <row r="67" spans="3:9" ht="15.7" customHeight="1" x14ac:dyDescent="0.3">
      <c r="C67" s="31">
        <v>19</v>
      </c>
      <c r="D67" s="43" t="s">
        <v>402</v>
      </c>
      <c r="F67" s="24" t="s">
        <v>12</v>
      </c>
      <c r="G67" s="3"/>
      <c r="H67" s="3"/>
      <c r="I67" s="3"/>
    </row>
    <row r="68" spans="3:9" ht="15.7" customHeight="1" x14ac:dyDescent="0.3">
      <c r="C68" s="31">
        <v>20</v>
      </c>
      <c r="D68" s="43" t="s">
        <v>403</v>
      </c>
      <c r="F68" s="24" t="s">
        <v>12</v>
      </c>
      <c r="G68" s="3"/>
      <c r="H68" s="3"/>
      <c r="I68" s="3"/>
    </row>
    <row r="69" spans="3:9" ht="15.7" customHeight="1" x14ac:dyDescent="0.3">
      <c r="C69" s="31">
        <v>21</v>
      </c>
      <c r="D69" s="43" t="s">
        <v>404</v>
      </c>
      <c r="F69" s="24" t="s">
        <v>12</v>
      </c>
      <c r="G69" s="3"/>
      <c r="H69" s="3"/>
      <c r="I69" s="3"/>
    </row>
    <row r="70" spans="3:9" ht="15.7" customHeight="1" x14ac:dyDescent="0.3">
      <c r="C70" s="31">
        <v>22</v>
      </c>
      <c r="D70" s="43" t="s">
        <v>405</v>
      </c>
      <c r="F70" s="24" t="s">
        <v>12</v>
      </c>
      <c r="G70" s="3"/>
      <c r="H70" s="3"/>
      <c r="I70" s="3"/>
    </row>
    <row r="71" spans="3:9" ht="15.7" customHeight="1" x14ac:dyDescent="0.3">
      <c r="C71" s="31">
        <v>23</v>
      </c>
      <c r="D71" s="43" t="s">
        <v>406</v>
      </c>
      <c r="F71" s="24" t="s">
        <v>12</v>
      </c>
      <c r="G71" s="3"/>
      <c r="H71" s="3"/>
      <c r="I71" s="3"/>
    </row>
    <row r="72" spans="3:9" ht="15.7" customHeight="1" x14ac:dyDescent="0.3">
      <c r="C72" s="31">
        <v>24</v>
      </c>
      <c r="D72" s="43" t="s">
        <v>407</v>
      </c>
      <c r="F72" s="24" t="s">
        <v>12</v>
      </c>
      <c r="G72" s="3"/>
      <c r="H72" s="3"/>
      <c r="I72" s="3"/>
    </row>
    <row r="73" spans="3:9" ht="15.7" customHeight="1" x14ac:dyDescent="0.3">
      <c r="C73" s="31">
        <v>25</v>
      </c>
      <c r="D73" s="43" t="s">
        <v>408</v>
      </c>
      <c r="F73" s="24" t="s">
        <v>12</v>
      </c>
      <c r="G73" s="3"/>
      <c r="H73" s="3"/>
      <c r="I73" s="3"/>
    </row>
    <row r="74" spans="3:9" ht="15.7" customHeight="1" x14ac:dyDescent="0.3">
      <c r="C74" s="31">
        <v>26</v>
      </c>
      <c r="D74" s="43" t="s">
        <v>409</v>
      </c>
      <c r="F74" s="24" t="s">
        <v>12</v>
      </c>
      <c r="G74" s="3"/>
      <c r="H74" s="3"/>
      <c r="I74" s="3"/>
    </row>
    <row r="75" spans="3:9" ht="15.7" customHeight="1" x14ac:dyDescent="0.3">
      <c r="C75" s="31">
        <v>27</v>
      </c>
      <c r="D75" s="43" t="s">
        <v>410</v>
      </c>
      <c r="F75" s="24" t="s">
        <v>12</v>
      </c>
      <c r="G75" s="3"/>
      <c r="H75" s="3"/>
      <c r="I75" s="3"/>
    </row>
    <row r="76" spans="3:9" ht="15.7" customHeight="1" x14ac:dyDescent="0.3">
      <c r="C76" s="31">
        <v>28</v>
      </c>
      <c r="D76" s="43" t="s">
        <v>411</v>
      </c>
      <c r="F76" s="24" t="s">
        <v>12</v>
      </c>
      <c r="G76" s="3"/>
      <c r="H76" s="3"/>
      <c r="I76" s="3"/>
    </row>
    <row r="77" spans="3:9" ht="15.7" customHeight="1" x14ac:dyDescent="0.3">
      <c r="C77" s="31">
        <v>29</v>
      </c>
      <c r="D77" s="43" t="s">
        <v>412</v>
      </c>
      <c r="F77" s="24" t="s">
        <v>12</v>
      </c>
      <c r="G77" s="3"/>
      <c r="H77" s="3"/>
      <c r="I77" s="3"/>
    </row>
    <row r="78" spans="3:9" ht="15.7" customHeight="1" x14ac:dyDescent="0.3">
      <c r="C78" s="31">
        <v>30</v>
      </c>
      <c r="D78" s="43" t="s">
        <v>413</v>
      </c>
      <c r="F78" s="24" t="s">
        <v>12</v>
      </c>
      <c r="G78" s="3"/>
      <c r="H78" s="3"/>
      <c r="I78" s="3"/>
    </row>
    <row r="79" spans="3:9" ht="15.7" customHeight="1" x14ac:dyDescent="0.3"/>
    <row r="80" spans="3:9" ht="15.7" customHeight="1" x14ac:dyDescent="0.3"/>
    <row r="81" ht="15.7" customHeight="1" x14ac:dyDescent="0.3"/>
    <row r="82" ht="15.7" customHeight="1" x14ac:dyDescent="0.3"/>
    <row r="83" ht="15.7" customHeight="1" x14ac:dyDescent="0.3"/>
    <row r="84" ht="15.7" customHeight="1" x14ac:dyDescent="0.3"/>
    <row r="85" ht="15.7" customHeight="1" x14ac:dyDescent="0.3"/>
    <row r="86" ht="15.7" customHeight="1" x14ac:dyDescent="0.3"/>
    <row r="87" ht="15.7" customHeight="1" x14ac:dyDescent="0.3"/>
    <row r="88" ht="15.7" customHeight="1" x14ac:dyDescent="0.3"/>
    <row r="89" ht="15.7" customHeight="1" x14ac:dyDescent="0.3"/>
    <row r="90" ht="15.7" customHeight="1" x14ac:dyDescent="0.3"/>
    <row r="91" ht="15.7" customHeight="1" x14ac:dyDescent="0.3"/>
    <row r="92" ht="15.7" customHeight="1" x14ac:dyDescent="0.3"/>
    <row r="93" ht="15.7" customHeight="1" x14ac:dyDescent="0.3"/>
    <row r="94" ht="15.7" customHeight="1" x14ac:dyDescent="0.3"/>
    <row r="95" ht="15.7" customHeight="1" x14ac:dyDescent="0.3"/>
    <row r="96" ht="15.7" customHeight="1" x14ac:dyDescent="0.3"/>
    <row r="97" ht="15.7" customHeight="1" x14ac:dyDescent="0.3"/>
    <row r="98" ht="15.7" customHeight="1" x14ac:dyDescent="0.3"/>
    <row r="99" ht="15.7" customHeight="1" x14ac:dyDescent="0.3"/>
    <row r="100" ht="15.7" customHeight="1" x14ac:dyDescent="0.3"/>
    <row r="101" ht="15.7" customHeight="1" x14ac:dyDescent="0.3"/>
    <row r="102" ht="15.7" customHeight="1" x14ac:dyDescent="0.3"/>
    <row r="103" ht="15.7" customHeight="1" x14ac:dyDescent="0.3"/>
    <row r="104" ht="15.7" customHeight="1" x14ac:dyDescent="0.3"/>
    <row r="105" ht="15.7" customHeight="1" x14ac:dyDescent="0.3"/>
    <row r="106" ht="15.7" customHeight="1" x14ac:dyDescent="0.3"/>
    <row r="107" ht="15.7" customHeight="1" x14ac:dyDescent="0.3"/>
    <row r="108" ht="15.7" customHeight="1" x14ac:dyDescent="0.3"/>
    <row r="109" ht="15.7" customHeight="1" x14ac:dyDescent="0.3"/>
    <row r="110" ht="15.7" customHeight="1" x14ac:dyDescent="0.3"/>
    <row r="111" ht="15.7" customHeight="1" x14ac:dyDescent="0.3"/>
    <row r="112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</sheetData>
  <mergeCells count="4">
    <mergeCell ref="B2:I2"/>
    <mergeCell ref="F8:H8"/>
    <mergeCell ref="C9:D9"/>
    <mergeCell ref="C48:D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6337778862885"/>
  </sheetPr>
  <dimension ref="B1:I1065"/>
  <sheetViews>
    <sheetView topLeftCell="A96" zoomScale="97" zoomScaleNormal="100" workbookViewId="0">
      <selection activeCell="D112" sqref="D112"/>
    </sheetView>
  </sheetViews>
  <sheetFormatPr baseColWidth="10" defaultColWidth="14.3984375" defaultRowHeight="14.4" x14ac:dyDescent="0.3"/>
  <cols>
    <col min="1" max="1" width="9.09765625" customWidth="1"/>
    <col min="2" max="2" width="9.8984375" customWidth="1"/>
    <col min="3" max="3" width="8" customWidth="1"/>
    <col min="4" max="4" width="143" customWidth="1"/>
    <col min="5" max="5" width="5.59765625" customWidth="1"/>
    <col min="6" max="6" width="15.69921875" customWidth="1"/>
    <col min="7" max="7" width="15.59765625" customWidth="1"/>
    <col min="8" max="8" width="12.09765625" customWidth="1"/>
    <col min="9" max="9" width="47.296875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85" t="s">
        <v>46</v>
      </c>
      <c r="C2" s="78"/>
      <c r="D2" s="78"/>
      <c r="E2" s="78"/>
      <c r="F2" s="78"/>
      <c r="G2" s="78"/>
      <c r="H2" s="78"/>
      <c r="I2" s="80"/>
    </row>
    <row r="3" spans="2:9" x14ac:dyDescent="0.3">
      <c r="B3" s="15" t="s">
        <v>1</v>
      </c>
      <c r="C3" s="5" t="s">
        <v>2</v>
      </c>
      <c r="D3" s="1"/>
      <c r="E3" s="1"/>
      <c r="F3" s="1"/>
      <c r="G3" s="1"/>
      <c r="H3" s="1"/>
      <c r="I3" s="11"/>
    </row>
    <row r="4" spans="2:9" x14ac:dyDescent="0.3">
      <c r="B4" s="15" t="s">
        <v>3</v>
      </c>
      <c r="C4" s="5" t="s">
        <v>4</v>
      </c>
      <c r="D4" s="1"/>
      <c r="E4" s="1"/>
      <c r="F4" s="1"/>
      <c r="G4" s="1"/>
      <c r="H4" s="1"/>
      <c r="I4" s="11"/>
    </row>
    <row r="5" spans="2:9" x14ac:dyDescent="0.3">
      <c r="B5" s="15" t="s">
        <v>5</v>
      </c>
      <c r="C5" s="5" t="s">
        <v>6</v>
      </c>
      <c r="D5" s="1"/>
      <c r="E5" s="1"/>
      <c r="F5" s="1"/>
      <c r="G5" s="1"/>
      <c r="H5" s="1"/>
      <c r="I5" s="11"/>
    </row>
    <row r="6" spans="2:9" x14ac:dyDescent="0.3">
      <c r="B6" s="16" t="s">
        <v>7</v>
      </c>
      <c r="C6" s="17" t="s">
        <v>8</v>
      </c>
      <c r="D6" s="13"/>
      <c r="E6" s="13"/>
      <c r="F6" s="13"/>
      <c r="G6" s="13"/>
      <c r="H6" s="13"/>
      <c r="I6" s="14"/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74" t="s">
        <v>11</v>
      </c>
      <c r="D9" s="73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">
        <v>1</v>
      </c>
      <c r="D10" s="37" t="s">
        <v>414</v>
      </c>
      <c r="F10" s="24" t="s">
        <v>12</v>
      </c>
      <c r="G10" s="3"/>
      <c r="H10" s="3"/>
      <c r="I10" s="3"/>
    </row>
    <row r="11" spans="2:9" x14ac:dyDescent="0.3">
      <c r="C11" s="2">
        <v>2</v>
      </c>
      <c r="D11" s="37" t="s">
        <v>415</v>
      </c>
      <c r="F11" s="24" t="s">
        <v>12</v>
      </c>
      <c r="G11" s="3"/>
      <c r="H11" s="3"/>
      <c r="I11" s="3"/>
    </row>
    <row r="12" spans="2:9" x14ac:dyDescent="0.3">
      <c r="C12" s="2">
        <v>3</v>
      </c>
      <c r="D12" s="37" t="s">
        <v>416</v>
      </c>
      <c r="F12" s="24" t="s">
        <v>12</v>
      </c>
      <c r="G12" s="3"/>
      <c r="H12" s="3"/>
      <c r="I12" s="3"/>
    </row>
    <row r="13" spans="2:9" x14ac:dyDescent="0.3">
      <c r="C13" s="2">
        <v>4</v>
      </c>
      <c r="D13" s="37" t="s">
        <v>41</v>
      </c>
      <c r="F13" s="24" t="s">
        <v>12</v>
      </c>
      <c r="G13" s="3"/>
      <c r="H13" s="3"/>
      <c r="I13" s="3"/>
    </row>
    <row r="14" spans="2:9" x14ac:dyDescent="0.3">
      <c r="C14" s="2">
        <v>5</v>
      </c>
      <c r="D14" s="37" t="s">
        <v>42</v>
      </c>
      <c r="F14" s="24" t="s">
        <v>12</v>
      </c>
      <c r="G14" s="3"/>
      <c r="H14" s="3"/>
      <c r="I14" s="3"/>
    </row>
    <row r="15" spans="2:9" x14ac:dyDescent="0.3">
      <c r="C15" s="2">
        <v>6</v>
      </c>
      <c r="D15" s="37" t="s">
        <v>417</v>
      </c>
      <c r="F15" s="24" t="s">
        <v>12</v>
      </c>
      <c r="G15" s="3"/>
      <c r="H15" s="3"/>
      <c r="I15" s="3"/>
    </row>
    <row r="16" spans="2:9" x14ac:dyDescent="0.3">
      <c r="C16" s="2">
        <v>7</v>
      </c>
      <c r="D16" s="37" t="s">
        <v>418</v>
      </c>
      <c r="F16" s="24" t="s">
        <v>12</v>
      </c>
      <c r="G16" s="3"/>
      <c r="H16" s="3"/>
      <c r="I16" s="3"/>
    </row>
    <row r="17" spans="3:9" x14ac:dyDescent="0.3">
      <c r="C17" s="2">
        <v>8</v>
      </c>
      <c r="D17" s="37" t="s">
        <v>419</v>
      </c>
      <c r="F17" s="24" t="s">
        <v>12</v>
      </c>
      <c r="G17" s="3"/>
      <c r="H17" s="3"/>
      <c r="I17" s="3"/>
    </row>
    <row r="18" spans="3:9" x14ac:dyDescent="0.3">
      <c r="C18" s="2">
        <v>9</v>
      </c>
      <c r="D18" s="37" t="s">
        <v>420</v>
      </c>
      <c r="F18" s="24" t="s">
        <v>12</v>
      </c>
      <c r="G18" s="3"/>
      <c r="H18" s="3"/>
      <c r="I18" s="3"/>
    </row>
    <row r="19" spans="3:9" x14ac:dyDescent="0.3">
      <c r="C19" s="2">
        <v>10</v>
      </c>
      <c r="D19" s="37" t="s">
        <v>421</v>
      </c>
      <c r="F19" s="24" t="s">
        <v>12</v>
      </c>
      <c r="G19" s="3"/>
      <c r="H19" s="3"/>
      <c r="I19" s="3"/>
    </row>
    <row r="20" spans="3:9" x14ac:dyDescent="0.3">
      <c r="C20" s="2">
        <v>11</v>
      </c>
      <c r="D20" s="37" t="s">
        <v>422</v>
      </c>
      <c r="F20" s="24" t="s">
        <v>12</v>
      </c>
      <c r="G20" s="3"/>
      <c r="H20" s="3"/>
      <c r="I20" s="3"/>
    </row>
    <row r="21" spans="3:9" ht="15.7" customHeight="1" x14ac:dyDescent="0.3">
      <c r="C21" s="2">
        <v>12</v>
      </c>
      <c r="D21" s="37" t="s">
        <v>423</v>
      </c>
      <c r="F21" s="24" t="s">
        <v>12</v>
      </c>
      <c r="G21" s="3"/>
      <c r="H21" s="3"/>
      <c r="I21" s="3"/>
    </row>
    <row r="22" spans="3:9" ht="15.7" customHeight="1" x14ac:dyDescent="0.3">
      <c r="C22" s="2">
        <v>13</v>
      </c>
      <c r="D22" s="37" t="s">
        <v>424</v>
      </c>
      <c r="F22" s="24" t="s">
        <v>12</v>
      </c>
      <c r="G22" s="3"/>
      <c r="H22" s="3"/>
      <c r="I22" s="3"/>
    </row>
    <row r="23" spans="3:9" ht="15.7" customHeight="1" x14ac:dyDescent="0.3">
      <c r="C23" s="2">
        <v>14</v>
      </c>
      <c r="D23" s="37" t="s">
        <v>457</v>
      </c>
      <c r="F23" s="24" t="s">
        <v>12</v>
      </c>
      <c r="G23" s="3"/>
      <c r="H23" s="3"/>
      <c r="I23" s="3"/>
    </row>
    <row r="24" spans="3:9" ht="15.7" customHeight="1" x14ac:dyDescent="0.3">
      <c r="C24" s="2">
        <v>15</v>
      </c>
      <c r="D24" s="37" t="s">
        <v>458</v>
      </c>
      <c r="F24" s="24" t="s">
        <v>12</v>
      </c>
      <c r="G24" s="3"/>
      <c r="H24" s="3"/>
      <c r="I24" s="3"/>
    </row>
    <row r="25" spans="3:9" ht="15.7" customHeight="1" x14ac:dyDescent="0.3">
      <c r="C25" s="2">
        <v>16</v>
      </c>
      <c r="D25" s="37" t="s">
        <v>425</v>
      </c>
      <c r="F25" s="24" t="s">
        <v>12</v>
      </c>
      <c r="G25" s="3"/>
      <c r="H25" s="3"/>
      <c r="I25" s="3"/>
    </row>
    <row r="26" spans="3:9" ht="15.7" customHeight="1" x14ac:dyDescent="0.3">
      <c r="C26" s="2">
        <v>17</v>
      </c>
      <c r="D26" s="37" t="s">
        <v>426</v>
      </c>
      <c r="F26" s="24" t="s">
        <v>12</v>
      </c>
      <c r="G26" s="3"/>
      <c r="H26" s="3"/>
      <c r="I26" s="3"/>
    </row>
    <row r="27" spans="3:9" ht="15.7" customHeight="1" x14ac:dyDescent="0.3">
      <c r="C27" s="2">
        <v>18</v>
      </c>
      <c r="D27" s="37" t="s">
        <v>427</v>
      </c>
      <c r="F27" s="24" t="s">
        <v>12</v>
      </c>
      <c r="G27" s="3"/>
      <c r="H27" s="3"/>
      <c r="I27" s="3"/>
    </row>
    <row r="28" spans="3:9" ht="15.7" customHeight="1" x14ac:dyDescent="0.3">
      <c r="C28" s="2">
        <v>19</v>
      </c>
      <c r="D28" s="37" t="s">
        <v>459</v>
      </c>
      <c r="F28" s="24" t="s">
        <v>12</v>
      </c>
      <c r="G28" s="3"/>
      <c r="H28" s="3"/>
      <c r="I28" s="3"/>
    </row>
    <row r="29" spans="3:9" ht="15.7" customHeight="1" x14ac:dyDescent="0.3">
      <c r="C29" s="2">
        <v>20</v>
      </c>
      <c r="D29" s="37" t="s">
        <v>428</v>
      </c>
      <c r="F29" s="24" t="s">
        <v>12</v>
      </c>
      <c r="G29" s="3"/>
      <c r="H29" s="3"/>
      <c r="I29" s="3"/>
    </row>
    <row r="30" spans="3:9" ht="15.7" customHeight="1" x14ac:dyDescent="0.3">
      <c r="C30" s="2">
        <v>21</v>
      </c>
      <c r="D30" s="37" t="s">
        <v>429</v>
      </c>
      <c r="F30" s="24" t="s">
        <v>12</v>
      </c>
      <c r="G30" s="3"/>
      <c r="H30" s="3"/>
      <c r="I30" s="3"/>
    </row>
    <row r="31" spans="3:9" ht="15.7" customHeight="1" x14ac:dyDescent="0.3">
      <c r="C31" s="2">
        <v>22</v>
      </c>
      <c r="D31" s="37" t="s">
        <v>430</v>
      </c>
      <c r="F31" s="24" t="s">
        <v>12</v>
      </c>
      <c r="G31" s="3"/>
      <c r="H31" s="3"/>
      <c r="I31" s="3"/>
    </row>
    <row r="32" spans="3:9" ht="15.7" customHeight="1" x14ac:dyDescent="0.3">
      <c r="C32" s="2">
        <v>23</v>
      </c>
      <c r="D32" s="37" t="s">
        <v>431</v>
      </c>
      <c r="F32" s="24" t="s">
        <v>12</v>
      </c>
      <c r="G32" s="3"/>
      <c r="H32" s="3"/>
      <c r="I32" s="3"/>
    </row>
    <row r="33" spans="3:9" ht="15.7" customHeight="1" x14ac:dyDescent="0.3">
      <c r="C33" s="2">
        <v>24</v>
      </c>
      <c r="D33" s="37" t="s">
        <v>432</v>
      </c>
      <c r="F33" s="24" t="s">
        <v>12</v>
      </c>
      <c r="G33" s="3"/>
      <c r="H33" s="3"/>
      <c r="I33" s="3"/>
    </row>
    <row r="34" spans="3:9" ht="15.7" customHeight="1" x14ac:dyDescent="0.3">
      <c r="C34" s="2">
        <v>25</v>
      </c>
      <c r="D34" s="37" t="s">
        <v>433</v>
      </c>
      <c r="F34" s="24" t="s">
        <v>12</v>
      </c>
      <c r="G34" s="3"/>
      <c r="H34" s="3"/>
      <c r="I34" s="3"/>
    </row>
    <row r="35" spans="3:9" ht="15.7" customHeight="1" x14ac:dyDescent="0.3">
      <c r="C35" s="2">
        <v>26</v>
      </c>
      <c r="D35" s="37" t="s">
        <v>434</v>
      </c>
      <c r="F35" s="24" t="s">
        <v>12</v>
      </c>
      <c r="G35" s="3"/>
      <c r="H35" s="3"/>
      <c r="I35" s="3"/>
    </row>
    <row r="36" spans="3:9" ht="15.7" customHeight="1" x14ac:dyDescent="0.3">
      <c r="C36" s="2">
        <v>27</v>
      </c>
      <c r="D36" s="37" t="s">
        <v>435</v>
      </c>
      <c r="F36" s="24" t="s">
        <v>12</v>
      </c>
      <c r="G36" s="3"/>
      <c r="H36" s="3"/>
      <c r="I36" s="3"/>
    </row>
    <row r="37" spans="3:9" ht="15.7" customHeight="1" x14ac:dyDescent="0.3">
      <c r="C37" s="2">
        <v>28</v>
      </c>
      <c r="D37" s="37" t="s">
        <v>460</v>
      </c>
      <c r="F37" s="24" t="s">
        <v>12</v>
      </c>
      <c r="G37" s="3"/>
      <c r="H37" s="3"/>
      <c r="I37" s="3"/>
    </row>
    <row r="38" spans="3:9" ht="15.7" customHeight="1" x14ac:dyDescent="0.3">
      <c r="C38" s="2">
        <v>29</v>
      </c>
      <c r="D38" s="37" t="s">
        <v>436</v>
      </c>
      <c r="F38" s="24" t="s">
        <v>12</v>
      </c>
      <c r="G38" s="3"/>
      <c r="H38" s="3"/>
      <c r="I38" s="3"/>
    </row>
    <row r="39" spans="3:9" ht="15.7" customHeight="1" x14ac:dyDescent="0.3">
      <c r="C39" s="2">
        <v>30</v>
      </c>
      <c r="D39" s="37" t="s">
        <v>437</v>
      </c>
      <c r="F39" s="24" t="s">
        <v>12</v>
      </c>
      <c r="G39" s="3"/>
      <c r="H39" s="3"/>
      <c r="I39" s="3"/>
    </row>
    <row r="40" spans="3:9" ht="16.600000000000001" customHeight="1" x14ac:dyDescent="0.3">
      <c r="C40" s="2">
        <v>31</v>
      </c>
      <c r="D40" s="37" t="s">
        <v>461</v>
      </c>
      <c r="F40" s="24" t="s">
        <v>12</v>
      </c>
      <c r="G40" s="3"/>
      <c r="H40" s="3"/>
      <c r="I40" s="3"/>
    </row>
    <row r="41" spans="3:9" ht="16.600000000000001" customHeight="1" x14ac:dyDescent="0.3">
      <c r="C41" s="2">
        <v>32</v>
      </c>
      <c r="D41" s="37" t="s">
        <v>462</v>
      </c>
      <c r="F41" s="24" t="s">
        <v>12</v>
      </c>
      <c r="G41" s="3"/>
      <c r="H41" s="3"/>
      <c r="I41" s="3"/>
    </row>
    <row r="42" spans="3:9" ht="16.600000000000001" customHeight="1" x14ac:dyDescent="0.3">
      <c r="C42" s="2">
        <v>33</v>
      </c>
      <c r="D42" s="37" t="s">
        <v>438</v>
      </c>
      <c r="F42" s="24" t="s">
        <v>12</v>
      </c>
      <c r="G42" s="3"/>
      <c r="H42" s="3"/>
      <c r="I42" s="3"/>
    </row>
    <row r="43" spans="3:9" ht="16.600000000000001" customHeight="1" x14ac:dyDescent="0.3">
      <c r="C43" s="2">
        <v>34</v>
      </c>
      <c r="D43" s="37" t="s">
        <v>439</v>
      </c>
      <c r="F43" s="24" t="s">
        <v>12</v>
      </c>
      <c r="G43" s="3"/>
      <c r="H43" s="3"/>
      <c r="I43" s="3"/>
    </row>
    <row r="44" spans="3:9" ht="16.600000000000001" customHeight="1" x14ac:dyDescent="0.3">
      <c r="C44" s="2">
        <v>35</v>
      </c>
      <c r="D44" s="37" t="s">
        <v>440</v>
      </c>
      <c r="F44" s="24" t="s">
        <v>12</v>
      </c>
      <c r="G44" s="3"/>
      <c r="H44" s="3"/>
      <c r="I44" s="3"/>
    </row>
    <row r="45" spans="3:9" ht="16.600000000000001" customHeight="1" x14ac:dyDescent="0.3">
      <c r="C45" s="2">
        <v>36</v>
      </c>
      <c r="D45" s="37" t="s">
        <v>441</v>
      </c>
      <c r="F45" s="24" t="s">
        <v>12</v>
      </c>
      <c r="G45" s="3"/>
      <c r="H45" s="3"/>
      <c r="I45" s="3"/>
    </row>
    <row r="46" spans="3:9" ht="16.600000000000001" customHeight="1" x14ac:dyDescent="0.3">
      <c r="C46" s="2">
        <v>37</v>
      </c>
      <c r="D46" s="37" t="s">
        <v>442</v>
      </c>
      <c r="F46" s="24" t="s">
        <v>12</v>
      </c>
      <c r="G46" s="3"/>
      <c r="H46" s="3"/>
      <c r="I46" s="3"/>
    </row>
    <row r="47" spans="3:9" ht="16.600000000000001" customHeight="1" x14ac:dyDescent="0.3">
      <c r="C47" s="2">
        <v>38</v>
      </c>
      <c r="D47" s="37" t="s">
        <v>443</v>
      </c>
      <c r="F47" s="24" t="s">
        <v>12</v>
      </c>
      <c r="G47" s="3"/>
      <c r="H47" s="3"/>
      <c r="I47" s="3"/>
    </row>
    <row r="48" spans="3:9" ht="16.600000000000001" customHeight="1" x14ac:dyDescent="0.3">
      <c r="C48" s="2">
        <v>39</v>
      </c>
      <c r="D48" s="37" t="s">
        <v>444</v>
      </c>
      <c r="F48" s="24" t="s">
        <v>12</v>
      </c>
      <c r="G48" s="3"/>
      <c r="H48" s="3"/>
      <c r="I48" s="3"/>
    </row>
    <row r="49" spans="3:9" ht="16.600000000000001" customHeight="1" x14ac:dyDescent="0.3">
      <c r="C49" s="2">
        <v>40</v>
      </c>
      <c r="D49" s="37" t="s">
        <v>463</v>
      </c>
      <c r="F49" s="24" t="s">
        <v>12</v>
      </c>
      <c r="G49" s="3"/>
      <c r="H49" s="3"/>
      <c r="I49" s="3"/>
    </row>
    <row r="50" spans="3:9" ht="16.600000000000001" customHeight="1" x14ac:dyDescent="0.3">
      <c r="C50" s="2">
        <v>41</v>
      </c>
      <c r="D50" s="37" t="s">
        <v>445</v>
      </c>
      <c r="F50" s="24" t="s">
        <v>12</v>
      </c>
      <c r="G50" s="3"/>
      <c r="H50" s="3"/>
      <c r="I50" s="3"/>
    </row>
    <row r="51" spans="3:9" ht="16.600000000000001" customHeight="1" x14ac:dyDescent="0.3">
      <c r="C51" s="2">
        <v>42</v>
      </c>
      <c r="D51" s="37" t="s">
        <v>464</v>
      </c>
      <c r="F51" s="24" t="s">
        <v>12</v>
      </c>
      <c r="G51" s="3"/>
      <c r="H51" s="3"/>
      <c r="I51" s="3"/>
    </row>
    <row r="52" spans="3:9" ht="16.600000000000001" customHeight="1" x14ac:dyDescent="0.3">
      <c r="C52" s="2">
        <v>43</v>
      </c>
      <c r="D52" s="37" t="s">
        <v>446</v>
      </c>
      <c r="F52" s="24" t="s">
        <v>12</v>
      </c>
      <c r="G52" s="3"/>
      <c r="H52" s="3"/>
      <c r="I52" s="3"/>
    </row>
    <row r="53" spans="3:9" ht="16.600000000000001" customHeight="1" x14ac:dyDescent="0.3">
      <c r="C53" s="2">
        <v>44</v>
      </c>
      <c r="D53" s="37" t="s">
        <v>447</v>
      </c>
      <c r="F53" s="24" t="s">
        <v>12</v>
      </c>
      <c r="G53" s="3"/>
      <c r="H53" s="3"/>
      <c r="I53" s="3"/>
    </row>
    <row r="54" spans="3:9" ht="16.600000000000001" customHeight="1" x14ac:dyDescent="0.3">
      <c r="C54" s="2">
        <v>45</v>
      </c>
      <c r="D54" s="37" t="s">
        <v>382</v>
      </c>
      <c r="F54" s="24" t="s">
        <v>12</v>
      </c>
      <c r="G54" s="3"/>
      <c r="H54" s="3"/>
      <c r="I54" s="3"/>
    </row>
    <row r="55" spans="3:9" ht="16.600000000000001" customHeight="1" x14ac:dyDescent="0.3">
      <c r="C55" s="2">
        <v>46</v>
      </c>
      <c r="D55" s="37" t="s">
        <v>465</v>
      </c>
      <c r="F55" s="24" t="s">
        <v>12</v>
      </c>
      <c r="G55" s="3"/>
      <c r="H55" s="3"/>
      <c r="I55" s="3"/>
    </row>
    <row r="56" spans="3:9" ht="16.600000000000001" customHeight="1" x14ac:dyDescent="0.3">
      <c r="C56" s="2">
        <v>47</v>
      </c>
      <c r="D56" s="37" t="s">
        <v>448</v>
      </c>
      <c r="F56" s="24" t="s">
        <v>12</v>
      </c>
      <c r="G56" s="3"/>
      <c r="H56" s="3"/>
      <c r="I56" s="3"/>
    </row>
    <row r="57" spans="3:9" ht="16.600000000000001" customHeight="1" x14ac:dyDescent="0.3">
      <c r="C57" s="2">
        <v>48</v>
      </c>
      <c r="D57" s="37" t="s">
        <v>449</v>
      </c>
      <c r="F57" s="24" t="s">
        <v>12</v>
      </c>
      <c r="G57" s="3"/>
      <c r="H57" s="3"/>
      <c r="I57" s="3"/>
    </row>
    <row r="58" spans="3:9" ht="16.600000000000001" customHeight="1" x14ac:dyDescent="0.3">
      <c r="C58" s="2">
        <v>49</v>
      </c>
      <c r="D58" s="37" t="s">
        <v>450</v>
      </c>
      <c r="F58" s="24" t="s">
        <v>12</v>
      </c>
      <c r="G58" s="3"/>
      <c r="H58" s="3"/>
      <c r="I58" s="3"/>
    </row>
    <row r="59" spans="3:9" ht="16.600000000000001" customHeight="1" x14ac:dyDescent="0.3">
      <c r="C59" s="2">
        <v>50</v>
      </c>
      <c r="D59" s="37" t="s">
        <v>451</v>
      </c>
      <c r="F59" s="24" t="s">
        <v>12</v>
      </c>
      <c r="G59" s="3"/>
      <c r="H59" s="3"/>
      <c r="I59" s="3"/>
    </row>
    <row r="60" spans="3:9" ht="16.600000000000001" customHeight="1" x14ac:dyDescent="0.3">
      <c r="C60" s="2">
        <v>51</v>
      </c>
      <c r="D60" s="37" t="s">
        <v>452</v>
      </c>
      <c r="F60" s="24" t="s">
        <v>12</v>
      </c>
      <c r="G60" s="3"/>
      <c r="H60" s="3"/>
      <c r="I60" s="3"/>
    </row>
    <row r="61" spans="3:9" ht="16.600000000000001" customHeight="1" x14ac:dyDescent="0.3">
      <c r="C61" s="2">
        <v>52</v>
      </c>
      <c r="D61" s="37" t="s">
        <v>453</v>
      </c>
      <c r="F61" s="24" t="s">
        <v>12</v>
      </c>
      <c r="G61" s="3"/>
      <c r="H61" s="3"/>
      <c r="I61" s="3"/>
    </row>
    <row r="62" spans="3:9" ht="16.600000000000001" customHeight="1" x14ac:dyDescent="0.3">
      <c r="C62" s="2">
        <v>53</v>
      </c>
      <c r="D62" s="37" t="s">
        <v>454</v>
      </c>
      <c r="F62" s="24" t="s">
        <v>12</v>
      </c>
      <c r="G62" s="3"/>
      <c r="H62" s="3"/>
      <c r="I62" s="3"/>
    </row>
    <row r="63" spans="3:9" ht="16.600000000000001" customHeight="1" x14ac:dyDescent="0.3">
      <c r="C63" s="2">
        <v>54</v>
      </c>
      <c r="D63" s="37" t="s">
        <v>455</v>
      </c>
      <c r="F63" s="24" t="s">
        <v>12</v>
      </c>
      <c r="G63" s="3"/>
      <c r="H63" s="3"/>
      <c r="I63" s="3"/>
    </row>
    <row r="64" spans="3:9" ht="16.600000000000001" customHeight="1" x14ac:dyDescent="0.3">
      <c r="C64" s="2">
        <v>55</v>
      </c>
      <c r="D64" s="37" t="s">
        <v>456</v>
      </c>
      <c r="F64" s="24" t="s">
        <v>12</v>
      </c>
      <c r="G64" s="3"/>
      <c r="H64" s="3"/>
      <c r="I64" s="3"/>
    </row>
    <row r="65" spans="3:9" ht="16.600000000000001" customHeight="1" x14ac:dyDescent="0.3">
      <c r="C65" s="2">
        <v>56</v>
      </c>
      <c r="D65" s="37" t="s">
        <v>466</v>
      </c>
      <c r="F65" s="24" t="s">
        <v>12</v>
      </c>
      <c r="G65" s="3"/>
      <c r="H65" s="3"/>
      <c r="I65" s="3"/>
    </row>
    <row r="66" spans="3:9" ht="16.600000000000001" customHeight="1" x14ac:dyDescent="0.3">
      <c r="C66" s="2">
        <v>57</v>
      </c>
      <c r="D66" s="37" t="s">
        <v>413</v>
      </c>
      <c r="F66" s="24" t="s">
        <v>12</v>
      </c>
      <c r="G66" s="3"/>
      <c r="H66" s="3"/>
      <c r="I66" s="3"/>
    </row>
    <row r="67" spans="3:9" ht="15.7" customHeight="1" x14ac:dyDescent="0.3"/>
    <row r="68" spans="3:9" ht="15.7" customHeight="1" x14ac:dyDescent="0.3"/>
    <row r="69" spans="3:9" ht="15.7" customHeight="1" x14ac:dyDescent="0.3"/>
    <row r="70" spans="3:9" ht="15.7" customHeight="1" x14ac:dyDescent="0.3">
      <c r="C70" s="86" t="s">
        <v>14</v>
      </c>
      <c r="D70" s="87"/>
      <c r="F70" s="6" t="s">
        <v>1</v>
      </c>
      <c r="G70" s="6" t="s">
        <v>3</v>
      </c>
      <c r="H70" s="6" t="s">
        <v>5</v>
      </c>
      <c r="I70" s="6" t="s">
        <v>10</v>
      </c>
    </row>
    <row r="71" spans="3:9" ht="15.7" customHeight="1" x14ac:dyDescent="0.3">
      <c r="C71" s="30">
        <v>1</v>
      </c>
      <c r="D71" s="43" t="s">
        <v>467</v>
      </c>
      <c r="F71" s="24" t="s">
        <v>12</v>
      </c>
      <c r="G71" s="3"/>
      <c r="H71" s="3"/>
      <c r="I71" s="3"/>
    </row>
    <row r="72" spans="3:9" ht="15.7" customHeight="1" x14ac:dyDescent="0.3">
      <c r="C72" s="20">
        <v>2</v>
      </c>
      <c r="D72" s="43" t="s">
        <v>468</v>
      </c>
      <c r="F72" s="24" t="s">
        <v>12</v>
      </c>
      <c r="G72" s="3"/>
      <c r="H72" s="3"/>
      <c r="I72" s="3"/>
    </row>
    <row r="73" spans="3:9" ht="15.7" customHeight="1" x14ac:dyDescent="0.3">
      <c r="C73" s="20">
        <v>3</v>
      </c>
      <c r="D73" s="43" t="s">
        <v>469</v>
      </c>
      <c r="F73" s="24" t="s">
        <v>12</v>
      </c>
      <c r="G73" s="3"/>
      <c r="H73" s="3"/>
      <c r="I73" s="3"/>
    </row>
    <row r="74" spans="3:9" ht="15.7" customHeight="1" x14ac:dyDescent="0.3">
      <c r="C74" s="30">
        <v>4</v>
      </c>
      <c r="D74" s="43" t="s">
        <v>470</v>
      </c>
      <c r="F74" s="24" t="s">
        <v>12</v>
      </c>
      <c r="G74" s="3"/>
      <c r="H74" s="3"/>
      <c r="I74" s="3"/>
    </row>
    <row r="75" spans="3:9" ht="15.7" customHeight="1" x14ac:dyDescent="0.3">
      <c r="C75" s="20">
        <v>5</v>
      </c>
      <c r="D75" s="43" t="s">
        <v>471</v>
      </c>
      <c r="F75" s="24" t="s">
        <v>12</v>
      </c>
      <c r="G75" s="3"/>
      <c r="H75" s="3"/>
      <c r="I75" s="3"/>
    </row>
    <row r="76" spans="3:9" ht="15.7" customHeight="1" x14ac:dyDescent="0.3">
      <c r="C76" s="20">
        <v>6</v>
      </c>
      <c r="D76" s="43" t="s">
        <v>472</v>
      </c>
      <c r="F76" s="24" t="s">
        <v>12</v>
      </c>
      <c r="G76" s="3"/>
      <c r="H76" s="3"/>
      <c r="I76" s="3"/>
    </row>
    <row r="77" spans="3:9" ht="15.7" customHeight="1" x14ac:dyDescent="0.3">
      <c r="C77" s="30">
        <v>7</v>
      </c>
      <c r="D77" s="43" t="s">
        <v>473</v>
      </c>
      <c r="F77" s="24" t="s">
        <v>12</v>
      </c>
      <c r="G77" s="3"/>
      <c r="H77" s="3"/>
      <c r="I77" s="3"/>
    </row>
    <row r="78" spans="3:9" ht="15.7" customHeight="1" x14ac:dyDescent="0.3">
      <c r="C78" s="20">
        <v>8</v>
      </c>
      <c r="D78" s="43" t="s">
        <v>474</v>
      </c>
      <c r="F78" s="24" t="s">
        <v>12</v>
      </c>
      <c r="G78" s="3"/>
      <c r="H78" s="3"/>
      <c r="I78" s="3"/>
    </row>
    <row r="79" spans="3:9" ht="15.7" customHeight="1" x14ac:dyDescent="0.3">
      <c r="C79" s="20">
        <v>9</v>
      </c>
      <c r="D79" s="43" t="s">
        <v>475</v>
      </c>
      <c r="F79" s="24" t="s">
        <v>12</v>
      </c>
      <c r="G79" s="3"/>
      <c r="H79" s="3"/>
      <c r="I79" s="3"/>
    </row>
    <row r="80" spans="3:9" ht="15.7" customHeight="1" x14ac:dyDescent="0.3">
      <c r="C80" s="30">
        <v>10</v>
      </c>
      <c r="D80" s="43" t="s">
        <v>476</v>
      </c>
      <c r="F80" s="24" t="s">
        <v>12</v>
      </c>
      <c r="G80" s="3"/>
      <c r="H80" s="3"/>
      <c r="I80" s="3"/>
    </row>
    <row r="81" spans="3:9" ht="15.7" customHeight="1" x14ac:dyDescent="0.3">
      <c r="C81" s="20">
        <v>11</v>
      </c>
      <c r="D81" s="43" t="s">
        <v>477</v>
      </c>
      <c r="F81" s="24" t="s">
        <v>12</v>
      </c>
      <c r="G81" s="3"/>
      <c r="H81" s="3"/>
      <c r="I81" s="3"/>
    </row>
    <row r="82" spans="3:9" ht="15.7" customHeight="1" x14ac:dyDescent="0.3">
      <c r="C82" s="20">
        <v>12</v>
      </c>
      <c r="D82" s="43" t="s">
        <v>478</v>
      </c>
      <c r="F82" s="24" t="s">
        <v>12</v>
      </c>
      <c r="G82" s="3"/>
      <c r="H82" s="3"/>
      <c r="I82" s="3"/>
    </row>
    <row r="83" spans="3:9" ht="15.7" customHeight="1" x14ac:dyDescent="0.3">
      <c r="C83" s="30">
        <v>13</v>
      </c>
      <c r="D83" s="43" t="s">
        <v>479</v>
      </c>
      <c r="F83" s="24" t="s">
        <v>12</v>
      </c>
      <c r="G83" s="3"/>
      <c r="H83" s="3"/>
      <c r="I83" s="3"/>
    </row>
    <row r="84" spans="3:9" ht="15.7" customHeight="1" x14ac:dyDescent="0.3">
      <c r="C84" s="20">
        <v>14</v>
      </c>
      <c r="D84" s="43" t="s">
        <v>480</v>
      </c>
      <c r="F84" s="24" t="s">
        <v>12</v>
      </c>
      <c r="G84" s="3"/>
      <c r="H84" s="3"/>
      <c r="I84" s="3"/>
    </row>
    <row r="85" spans="3:9" ht="15.7" customHeight="1" x14ac:dyDescent="0.3">
      <c r="C85" s="20">
        <v>15</v>
      </c>
      <c r="D85" s="43" t="s">
        <v>481</v>
      </c>
      <c r="F85" s="24" t="s">
        <v>12</v>
      </c>
      <c r="G85" s="3"/>
      <c r="H85" s="3"/>
      <c r="I85" s="3"/>
    </row>
    <row r="86" spans="3:9" ht="15.7" customHeight="1" x14ac:dyDescent="0.3">
      <c r="C86" s="30">
        <v>16</v>
      </c>
      <c r="D86" s="43" t="s">
        <v>482</v>
      </c>
      <c r="F86" s="24" t="s">
        <v>12</v>
      </c>
      <c r="G86" s="3"/>
      <c r="H86" s="3"/>
      <c r="I86" s="3"/>
    </row>
    <row r="87" spans="3:9" ht="15.7" customHeight="1" x14ac:dyDescent="0.3">
      <c r="C87" s="20">
        <v>17</v>
      </c>
      <c r="D87" s="43" t="s">
        <v>505</v>
      </c>
      <c r="F87" s="24" t="s">
        <v>12</v>
      </c>
      <c r="G87" s="3"/>
      <c r="H87" s="3"/>
      <c r="I87" s="3"/>
    </row>
    <row r="88" spans="3:9" ht="15.7" customHeight="1" x14ac:dyDescent="0.3">
      <c r="C88" s="20">
        <v>18</v>
      </c>
      <c r="D88" s="43" t="s">
        <v>483</v>
      </c>
      <c r="F88" s="24" t="s">
        <v>12</v>
      </c>
      <c r="G88" s="3"/>
      <c r="H88" s="3"/>
      <c r="I88" s="3"/>
    </row>
    <row r="89" spans="3:9" ht="15.7" customHeight="1" x14ac:dyDescent="0.3">
      <c r="C89" s="30">
        <v>19</v>
      </c>
      <c r="D89" s="43" t="s">
        <v>484</v>
      </c>
      <c r="F89" s="24" t="s">
        <v>12</v>
      </c>
      <c r="G89" s="3"/>
      <c r="H89" s="3"/>
      <c r="I89" s="3"/>
    </row>
    <row r="90" spans="3:9" ht="15.7" customHeight="1" x14ac:dyDescent="0.3">
      <c r="C90" s="20">
        <v>20</v>
      </c>
      <c r="D90" s="43" t="s">
        <v>506</v>
      </c>
      <c r="F90" s="24" t="s">
        <v>12</v>
      </c>
      <c r="G90" s="3"/>
      <c r="H90" s="3"/>
      <c r="I90" s="3"/>
    </row>
    <row r="91" spans="3:9" ht="15.7" customHeight="1" x14ac:dyDescent="0.3">
      <c r="C91" s="20">
        <v>21</v>
      </c>
      <c r="D91" s="43" t="s">
        <v>507</v>
      </c>
      <c r="F91" s="24" t="s">
        <v>12</v>
      </c>
      <c r="G91" s="3"/>
      <c r="H91" s="3"/>
      <c r="I91" s="3"/>
    </row>
    <row r="92" spans="3:9" ht="15.7" customHeight="1" x14ac:dyDescent="0.3">
      <c r="C92" s="20">
        <v>22</v>
      </c>
      <c r="D92" s="43" t="s">
        <v>508</v>
      </c>
      <c r="F92" s="24" t="s">
        <v>12</v>
      </c>
      <c r="G92" s="3"/>
      <c r="H92" s="3"/>
      <c r="I92" s="3"/>
    </row>
    <row r="93" spans="3:9" ht="15.7" customHeight="1" x14ac:dyDescent="0.3">
      <c r="C93" s="20">
        <v>23</v>
      </c>
      <c r="D93" s="43" t="s">
        <v>509</v>
      </c>
      <c r="F93" s="24" t="s">
        <v>12</v>
      </c>
      <c r="G93" s="3"/>
      <c r="H93" s="3"/>
      <c r="I93" s="3"/>
    </row>
    <row r="94" spans="3:9" ht="15.7" customHeight="1" x14ac:dyDescent="0.3">
      <c r="C94" s="20">
        <v>24</v>
      </c>
      <c r="D94" s="43" t="s">
        <v>485</v>
      </c>
      <c r="F94" s="24" t="s">
        <v>12</v>
      </c>
      <c r="G94" s="3"/>
      <c r="H94" s="3"/>
      <c r="I94" s="3"/>
    </row>
    <row r="95" spans="3:9" ht="15.7" customHeight="1" x14ac:dyDescent="0.3">
      <c r="C95" s="20">
        <v>25</v>
      </c>
      <c r="D95" s="43" t="s">
        <v>510</v>
      </c>
      <c r="F95" s="24" t="s">
        <v>12</v>
      </c>
      <c r="G95" s="3"/>
      <c r="H95" s="3"/>
      <c r="I95" s="3"/>
    </row>
    <row r="96" spans="3:9" ht="15.7" customHeight="1" x14ac:dyDescent="0.3">
      <c r="C96" s="20">
        <v>26</v>
      </c>
      <c r="D96" s="43" t="s">
        <v>511</v>
      </c>
      <c r="F96" s="24" t="s">
        <v>12</v>
      </c>
      <c r="G96" s="3"/>
      <c r="H96" s="3"/>
      <c r="I96" s="3"/>
    </row>
    <row r="97" spans="3:9" ht="15.7" customHeight="1" x14ac:dyDescent="0.3">
      <c r="C97" s="20">
        <v>27</v>
      </c>
      <c r="D97" s="43" t="s">
        <v>486</v>
      </c>
      <c r="F97" s="24" t="s">
        <v>12</v>
      </c>
      <c r="G97" s="3"/>
      <c r="H97" s="3"/>
      <c r="I97" s="3"/>
    </row>
    <row r="98" spans="3:9" ht="15.7" customHeight="1" x14ac:dyDescent="0.3">
      <c r="C98" s="20">
        <v>28</v>
      </c>
      <c r="D98" s="43" t="s">
        <v>512</v>
      </c>
      <c r="F98" s="24" t="s">
        <v>12</v>
      </c>
      <c r="G98" s="3"/>
      <c r="H98" s="3"/>
      <c r="I98" s="3"/>
    </row>
    <row r="99" spans="3:9" ht="15.7" customHeight="1" x14ac:dyDescent="0.3">
      <c r="C99" s="20">
        <v>29</v>
      </c>
      <c r="D99" s="43" t="s">
        <v>487</v>
      </c>
      <c r="F99" s="24" t="s">
        <v>12</v>
      </c>
      <c r="G99" s="3"/>
      <c r="H99" s="3"/>
      <c r="I99" s="3"/>
    </row>
    <row r="100" spans="3:9" ht="15.7" customHeight="1" x14ac:dyDescent="0.3">
      <c r="C100" s="20">
        <v>30</v>
      </c>
      <c r="D100" s="43" t="s">
        <v>488</v>
      </c>
      <c r="F100" s="24" t="s">
        <v>12</v>
      </c>
      <c r="G100" s="3"/>
      <c r="H100" s="3"/>
      <c r="I100" s="3"/>
    </row>
    <row r="101" spans="3:9" ht="15.7" customHeight="1" x14ac:dyDescent="0.3">
      <c r="C101" s="20">
        <v>31</v>
      </c>
      <c r="D101" s="43" t="s">
        <v>394</v>
      </c>
      <c r="F101" s="24" t="s">
        <v>12</v>
      </c>
      <c r="G101" s="3"/>
      <c r="H101" s="3"/>
      <c r="I101" s="3"/>
    </row>
    <row r="102" spans="3:9" ht="15.7" customHeight="1" x14ac:dyDescent="0.3">
      <c r="C102" s="20">
        <v>32</v>
      </c>
      <c r="D102" s="43" t="s">
        <v>393</v>
      </c>
      <c r="F102" s="24" t="s">
        <v>12</v>
      </c>
      <c r="G102" s="3"/>
      <c r="H102" s="3"/>
      <c r="I102" s="3"/>
    </row>
    <row r="103" spans="3:9" ht="15.7" customHeight="1" x14ac:dyDescent="0.3">
      <c r="C103" s="20">
        <v>33</v>
      </c>
      <c r="D103" s="43" t="s">
        <v>392</v>
      </c>
      <c r="F103" s="24" t="s">
        <v>12</v>
      </c>
      <c r="G103" s="3"/>
      <c r="H103" s="3"/>
      <c r="I103" s="3"/>
    </row>
    <row r="104" spans="3:9" ht="15.7" customHeight="1" x14ac:dyDescent="0.3">
      <c r="C104" s="20">
        <v>34</v>
      </c>
      <c r="D104" s="43" t="s">
        <v>489</v>
      </c>
      <c r="F104" s="24" t="s">
        <v>12</v>
      </c>
      <c r="G104" s="3"/>
      <c r="H104" s="3"/>
      <c r="I104" s="3"/>
    </row>
    <row r="105" spans="3:9" ht="15.7" customHeight="1" x14ac:dyDescent="0.3">
      <c r="C105" s="20">
        <v>35</v>
      </c>
      <c r="D105" s="43" t="s">
        <v>490</v>
      </c>
      <c r="F105" s="24" t="s">
        <v>12</v>
      </c>
      <c r="G105" s="3"/>
      <c r="H105" s="3"/>
      <c r="I105" s="3"/>
    </row>
    <row r="106" spans="3:9" ht="15.7" customHeight="1" x14ac:dyDescent="0.3">
      <c r="C106" s="20">
        <v>36</v>
      </c>
      <c r="D106" s="43" t="s">
        <v>491</v>
      </c>
      <c r="F106" s="24" t="s">
        <v>12</v>
      </c>
      <c r="G106" s="3"/>
      <c r="H106" s="3"/>
      <c r="I106" s="3"/>
    </row>
    <row r="107" spans="3:9" ht="15.7" customHeight="1" x14ac:dyDescent="0.3">
      <c r="C107" s="20">
        <v>37</v>
      </c>
      <c r="D107" s="43" t="s">
        <v>492</v>
      </c>
      <c r="F107" s="24" t="s">
        <v>12</v>
      </c>
      <c r="G107" s="3"/>
      <c r="H107" s="3"/>
      <c r="I107" s="3"/>
    </row>
    <row r="108" spans="3:9" ht="15.7" customHeight="1" x14ac:dyDescent="0.3">
      <c r="C108" s="20">
        <v>38</v>
      </c>
      <c r="D108" s="43" t="s">
        <v>493</v>
      </c>
      <c r="F108" s="24" t="s">
        <v>12</v>
      </c>
      <c r="G108" s="3"/>
      <c r="H108" s="3"/>
      <c r="I108" s="3"/>
    </row>
    <row r="109" spans="3:9" ht="15.7" customHeight="1" x14ac:dyDescent="0.3">
      <c r="C109" s="20">
        <v>39</v>
      </c>
      <c r="D109" s="43" t="s">
        <v>494</v>
      </c>
      <c r="F109" s="24" t="s">
        <v>12</v>
      </c>
      <c r="G109" s="3"/>
      <c r="H109" s="3"/>
      <c r="I109" s="3"/>
    </row>
    <row r="110" spans="3:9" ht="15.7" customHeight="1" x14ac:dyDescent="0.3">
      <c r="C110" s="20">
        <v>40</v>
      </c>
      <c r="D110" s="43" t="s">
        <v>495</v>
      </c>
      <c r="F110" s="24" t="s">
        <v>12</v>
      </c>
      <c r="G110" s="3"/>
      <c r="H110" s="3"/>
      <c r="I110" s="3"/>
    </row>
    <row r="111" spans="3:9" ht="15.7" customHeight="1" x14ac:dyDescent="0.3">
      <c r="C111" s="20">
        <v>41</v>
      </c>
      <c r="D111" s="43" t="s">
        <v>513</v>
      </c>
      <c r="F111" s="24" t="s">
        <v>12</v>
      </c>
      <c r="G111" s="3"/>
      <c r="H111" s="3"/>
      <c r="I111" s="3"/>
    </row>
    <row r="112" spans="3:9" ht="15.7" customHeight="1" x14ac:dyDescent="0.3">
      <c r="C112" s="20">
        <v>42</v>
      </c>
      <c r="D112" s="43" t="s">
        <v>496</v>
      </c>
      <c r="F112" s="24" t="s">
        <v>12</v>
      </c>
      <c r="G112" s="3"/>
      <c r="H112" s="3"/>
      <c r="I112" s="3"/>
    </row>
    <row r="113" spans="3:9" ht="15.7" customHeight="1" x14ac:dyDescent="0.3">
      <c r="C113" s="20">
        <v>43</v>
      </c>
      <c r="D113" s="43" t="s">
        <v>497</v>
      </c>
      <c r="F113" s="24" t="s">
        <v>12</v>
      </c>
      <c r="G113" s="3"/>
      <c r="H113" s="3"/>
      <c r="I113" s="3"/>
    </row>
    <row r="114" spans="3:9" ht="15.7" customHeight="1" x14ac:dyDescent="0.3">
      <c r="C114" s="20">
        <v>44</v>
      </c>
      <c r="D114" s="43" t="s">
        <v>498</v>
      </c>
      <c r="F114" s="24" t="s">
        <v>12</v>
      </c>
      <c r="G114" s="3"/>
      <c r="H114" s="3"/>
      <c r="I114" s="3"/>
    </row>
    <row r="115" spans="3:9" ht="15.7" customHeight="1" x14ac:dyDescent="0.3">
      <c r="C115" s="20">
        <v>45</v>
      </c>
      <c r="D115" s="43" t="s">
        <v>499</v>
      </c>
      <c r="F115" s="24" t="s">
        <v>12</v>
      </c>
      <c r="G115" s="3"/>
      <c r="H115" s="3"/>
      <c r="I115" s="3"/>
    </row>
    <row r="116" spans="3:9" ht="15.7" customHeight="1" x14ac:dyDescent="0.3">
      <c r="C116" s="20">
        <v>46</v>
      </c>
      <c r="D116" s="43" t="s">
        <v>514</v>
      </c>
      <c r="F116" s="24" t="s">
        <v>12</v>
      </c>
      <c r="G116" s="3"/>
      <c r="H116" s="3"/>
      <c r="I116" s="3"/>
    </row>
    <row r="117" spans="3:9" ht="15.7" customHeight="1" x14ac:dyDescent="0.3">
      <c r="C117" s="20">
        <v>47</v>
      </c>
      <c r="D117" s="43" t="s">
        <v>500</v>
      </c>
      <c r="F117" s="24" t="s">
        <v>12</v>
      </c>
      <c r="G117" s="3"/>
      <c r="H117" s="3"/>
      <c r="I117" s="3"/>
    </row>
    <row r="118" spans="3:9" ht="15.7" customHeight="1" x14ac:dyDescent="0.3">
      <c r="C118" s="20">
        <v>48</v>
      </c>
      <c r="D118" s="43" t="s">
        <v>501</v>
      </c>
      <c r="F118" s="24" t="s">
        <v>12</v>
      </c>
      <c r="G118" s="3"/>
      <c r="H118" s="3"/>
      <c r="I118" s="3"/>
    </row>
    <row r="119" spans="3:9" ht="15.7" customHeight="1" x14ac:dyDescent="0.3">
      <c r="C119" s="20">
        <v>49</v>
      </c>
      <c r="D119" s="43" t="s">
        <v>502</v>
      </c>
      <c r="F119" s="24" t="s">
        <v>12</v>
      </c>
      <c r="G119" s="3"/>
      <c r="H119" s="3"/>
      <c r="I119" s="3"/>
    </row>
    <row r="120" spans="3:9" ht="15.7" customHeight="1" x14ac:dyDescent="0.3">
      <c r="C120" s="20">
        <v>50</v>
      </c>
      <c r="D120" s="43" t="s">
        <v>515</v>
      </c>
      <c r="F120" s="24" t="s">
        <v>12</v>
      </c>
      <c r="G120" s="3"/>
      <c r="H120" s="3"/>
      <c r="I120" s="3"/>
    </row>
    <row r="121" spans="3:9" ht="15.7" customHeight="1" x14ac:dyDescent="0.3">
      <c r="C121" s="20">
        <v>51</v>
      </c>
      <c r="D121" s="43" t="s">
        <v>503</v>
      </c>
      <c r="F121" s="24" t="s">
        <v>12</v>
      </c>
      <c r="G121" s="3"/>
      <c r="H121" s="3"/>
      <c r="I121" s="3"/>
    </row>
    <row r="122" spans="3:9" ht="15.7" customHeight="1" x14ac:dyDescent="0.3">
      <c r="C122" s="20">
        <v>52</v>
      </c>
      <c r="D122" s="43" t="s">
        <v>504</v>
      </c>
      <c r="F122" s="24" t="s">
        <v>12</v>
      </c>
      <c r="G122" s="3"/>
      <c r="H122" s="3"/>
      <c r="I122" s="3"/>
    </row>
    <row r="123" spans="3:9" ht="15.7" customHeight="1" x14ac:dyDescent="0.3"/>
    <row r="124" spans="3:9" ht="15.7" customHeight="1" x14ac:dyDescent="0.3"/>
    <row r="125" spans="3:9" ht="15.7" customHeight="1" x14ac:dyDescent="0.3"/>
    <row r="126" spans="3:9" ht="15.7" customHeight="1" x14ac:dyDescent="0.3"/>
    <row r="127" spans="3:9" ht="15.7" customHeight="1" x14ac:dyDescent="0.3"/>
    <row r="128" spans="3:9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</sheetData>
  <mergeCells count="4">
    <mergeCell ref="B2:I2"/>
    <mergeCell ref="F8:H8"/>
    <mergeCell ref="C9:D9"/>
    <mergeCell ref="C70:D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6337778862885"/>
  </sheetPr>
  <dimension ref="B1:I1044"/>
  <sheetViews>
    <sheetView topLeftCell="A88" workbookViewId="0">
      <selection activeCell="D83" sqref="D83"/>
    </sheetView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30.296875" customWidth="1"/>
    <col min="5" max="5" width="5" customWidth="1"/>
    <col min="6" max="8" width="8" customWidth="1"/>
    <col min="9" max="9" width="70.59765625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47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6" t="s">
        <v>11</v>
      </c>
      <c r="D9" s="87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19" t="s">
        <v>516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19" t="s">
        <v>517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19" t="s">
        <v>518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19" t="s">
        <v>519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19" t="s">
        <v>520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19" t="s">
        <v>521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19" t="s">
        <v>522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19" t="s">
        <v>523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19" t="s">
        <v>524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19" t="s">
        <v>525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19" t="s">
        <v>526</v>
      </c>
      <c r="F20" s="24" t="s">
        <v>12</v>
      </c>
      <c r="G20" s="3"/>
      <c r="H20" s="3"/>
      <c r="I20" s="3"/>
    </row>
    <row r="21" spans="3:9" ht="15.7" customHeight="1" x14ac:dyDescent="0.3">
      <c r="C21" s="20">
        <v>12</v>
      </c>
      <c r="D21" s="19" t="s">
        <v>527</v>
      </c>
      <c r="F21" s="24" t="s">
        <v>12</v>
      </c>
      <c r="G21" s="3"/>
      <c r="H21" s="3"/>
      <c r="I21" s="3"/>
    </row>
    <row r="22" spans="3:9" ht="15.7" customHeight="1" x14ac:dyDescent="0.3">
      <c r="C22" s="20">
        <v>13</v>
      </c>
      <c r="D22" s="19" t="s">
        <v>528</v>
      </c>
      <c r="F22" s="24" t="s">
        <v>12</v>
      </c>
      <c r="G22" s="3"/>
      <c r="H22" s="3"/>
      <c r="I22" s="3"/>
    </row>
    <row r="23" spans="3:9" ht="15.7" customHeight="1" x14ac:dyDescent="0.3">
      <c r="C23" s="20">
        <v>14</v>
      </c>
      <c r="D23" s="19" t="s">
        <v>529</v>
      </c>
      <c r="F23" s="24" t="s">
        <v>12</v>
      </c>
      <c r="G23" s="3"/>
      <c r="H23" s="3"/>
      <c r="I23" s="3"/>
    </row>
    <row r="24" spans="3:9" ht="15.7" customHeight="1" x14ac:dyDescent="0.3">
      <c r="C24" s="20">
        <v>15</v>
      </c>
      <c r="D24" s="19" t="s">
        <v>530</v>
      </c>
      <c r="F24" s="24" t="s">
        <v>12</v>
      </c>
      <c r="G24" s="3"/>
      <c r="H24" s="3"/>
      <c r="I24" s="3"/>
    </row>
    <row r="25" spans="3:9" ht="15.7" customHeight="1" x14ac:dyDescent="0.3">
      <c r="C25" s="20">
        <v>16</v>
      </c>
      <c r="D25" s="19" t="s">
        <v>531</v>
      </c>
      <c r="F25" s="24" t="s">
        <v>12</v>
      </c>
      <c r="G25" s="3"/>
      <c r="H25" s="3"/>
      <c r="I25" s="3"/>
    </row>
    <row r="26" spans="3:9" ht="15.7" customHeight="1" x14ac:dyDescent="0.3">
      <c r="C26" s="20">
        <v>17</v>
      </c>
      <c r="D26" s="19" t="s">
        <v>532</v>
      </c>
      <c r="F26" s="24" t="s">
        <v>12</v>
      </c>
      <c r="G26" s="3"/>
      <c r="H26" s="3"/>
      <c r="I26" s="3"/>
    </row>
    <row r="27" spans="3:9" ht="15.7" customHeight="1" x14ac:dyDescent="0.3">
      <c r="C27" s="20">
        <v>18</v>
      </c>
      <c r="D27" s="19" t="s">
        <v>533</v>
      </c>
      <c r="F27" s="24" t="s">
        <v>12</v>
      </c>
      <c r="G27" s="3"/>
      <c r="H27" s="3"/>
      <c r="I27" s="3"/>
    </row>
    <row r="28" spans="3:9" ht="15.7" customHeight="1" x14ac:dyDescent="0.3">
      <c r="C28" s="20">
        <v>19</v>
      </c>
      <c r="D28" s="19" t="s">
        <v>534</v>
      </c>
      <c r="F28" s="24" t="s">
        <v>12</v>
      </c>
      <c r="G28" s="3"/>
      <c r="H28" s="3"/>
      <c r="I28" s="3"/>
    </row>
    <row r="29" spans="3:9" ht="15.7" customHeight="1" x14ac:dyDescent="0.3">
      <c r="C29" s="20">
        <v>20</v>
      </c>
      <c r="D29" s="19" t="s">
        <v>535</v>
      </c>
      <c r="F29" s="24" t="s">
        <v>12</v>
      </c>
      <c r="G29" s="3"/>
      <c r="H29" s="3"/>
      <c r="I29" s="3"/>
    </row>
    <row r="30" spans="3:9" ht="15.7" customHeight="1" x14ac:dyDescent="0.3">
      <c r="C30" s="20">
        <v>21</v>
      </c>
      <c r="D30" s="19" t="s">
        <v>536</v>
      </c>
      <c r="F30" s="24" t="s">
        <v>12</v>
      </c>
      <c r="G30" s="3"/>
      <c r="H30" s="3"/>
      <c r="I30" s="3"/>
    </row>
    <row r="31" spans="3:9" ht="15.7" customHeight="1" x14ac:dyDescent="0.3">
      <c r="C31" s="20">
        <v>22</v>
      </c>
      <c r="D31" s="19" t="s">
        <v>537</v>
      </c>
      <c r="F31" s="24" t="s">
        <v>12</v>
      </c>
      <c r="G31" s="3"/>
      <c r="H31" s="3"/>
      <c r="I31" s="3"/>
    </row>
    <row r="32" spans="3:9" ht="15.7" customHeight="1" x14ac:dyDescent="0.3">
      <c r="C32" s="20">
        <v>23</v>
      </c>
      <c r="D32" s="19" t="s">
        <v>538</v>
      </c>
      <c r="F32" s="24" t="s">
        <v>12</v>
      </c>
      <c r="G32" s="3"/>
      <c r="H32" s="3"/>
      <c r="I32" s="3"/>
    </row>
    <row r="33" spans="3:9" ht="15.7" customHeight="1" x14ac:dyDescent="0.3">
      <c r="C33" s="20">
        <v>24</v>
      </c>
      <c r="D33" s="19" t="s">
        <v>539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19" t="s">
        <v>540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19" t="s">
        <v>541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19" t="s">
        <v>542</v>
      </c>
      <c r="F36" s="24" t="s">
        <v>12</v>
      </c>
      <c r="G36" s="3"/>
      <c r="H36" s="3"/>
      <c r="I36" s="3"/>
    </row>
    <row r="37" spans="3:9" ht="15" customHeight="1" x14ac:dyDescent="0.3">
      <c r="C37" s="20">
        <v>28</v>
      </c>
      <c r="D37" s="19" t="s">
        <v>543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19" t="s">
        <v>569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19" t="s">
        <v>544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19" t="s">
        <v>545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19" t="s">
        <v>546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19" t="s">
        <v>547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19" t="s">
        <v>548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19" t="s">
        <v>549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19" t="s">
        <v>550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19" t="s">
        <v>551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19" t="s">
        <v>552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19" t="s">
        <v>553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19" t="s">
        <v>554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19" t="s">
        <v>555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19" t="s">
        <v>556</v>
      </c>
      <c r="F51" s="24" t="s">
        <v>12</v>
      </c>
      <c r="G51" s="3"/>
      <c r="H51" s="3"/>
      <c r="I51" s="3"/>
    </row>
    <row r="52" spans="3:9" ht="15.7" customHeight="1" x14ac:dyDescent="0.3">
      <c r="C52" s="20">
        <v>43</v>
      </c>
      <c r="D52" s="19" t="s">
        <v>557</v>
      </c>
      <c r="F52" s="24" t="s">
        <v>12</v>
      </c>
      <c r="G52" s="3"/>
      <c r="H52" s="3"/>
      <c r="I52" s="3"/>
    </row>
    <row r="53" spans="3:9" ht="15.7" customHeight="1" x14ac:dyDescent="0.3">
      <c r="C53" s="20">
        <v>44</v>
      </c>
      <c r="D53" s="19" t="s">
        <v>558</v>
      </c>
      <c r="F53" s="24" t="s">
        <v>12</v>
      </c>
      <c r="G53" s="3"/>
      <c r="H53" s="3"/>
      <c r="I53" s="3"/>
    </row>
    <row r="54" spans="3:9" ht="15.7" customHeight="1" x14ac:dyDescent="0.3">
      <c r="C54" s="20">
        <v>45</v>
      </c>
      <c r="D54" s="19" t="s">
        <v>559</v>
      </c>
      <c r="F54" s="24" t="s">
        <v>12</v>
      </c>
      <c r="G54" s="3"/>
      <c r="H54" s="3"/>
      <c r="I54" s="3"/>
    </row>
    <row r="55" spans="3:9" ht="15.7" customHeight="1" x14ac:dyDescent="0.3">
      <c r="C55" s="20">
        <v>46</v>
      </c>
      <c r="D55" s="19" t="s">
        <v>560</v>
      </c>
      <c r="F55" s="24" t="s">
        <v>12</v>
      </c>
      <c r="G55" s="3"/>
      <c r="H55" s="3"/>
      <c r="I55" s="3"/>
    </row>
    <row r="56" spans="3:9" ht="15.7" customHeight="1" x14ac:dyDescent="0.3">
      <c r="C56" s="20">
        <v>47</v>
      </c>
      <c r="D56" s="19" t="s">
        <v>561</v>
      </c>
      <c r="F56" s="24" t="s">
        <v>12</v>
      </c>
      <c r="G56" s="3"/>
      <c r="H56" s="3"/>
      <c r="I56" s="3"/>
    </row>
    <row r="57" spans="3:9" ht="15.7" customHeight="1" x14ac:dyDescent="0.3">
      <c r="C57" s="20">
        <v>48</v>
      </c>
      <c r="D57" s="19" t="s">
        <v>562</v>
      </c>
      <c r="F57" s="24" t="s">
        <v>12</v>
      </c>
      <c r="G57" s="3"/>
      <c r="H57" s="3"/>
      <c r="I57" s="3"/>
    </row>
    <row r="58" spans="3:9" ht="15.7" customHeight="1" x14ac:dyDescent="0.3">
      <c r="C58" s="20">
        <v>49</v>
      </c>
      <c r="D58" s="19" t="s">
        <v>570</v>
      </c>
      <c r="F58" s="24" t="s">
        <v>12</v>
      </c>
      <c r="G58" s="3"/>
      <c r="H58" s="3"/>
      <c r="I58" s="3"/>
    </row>
    <row r="59" spans="3:9" ht="15.7" customHeight="1" x14ac:dyDescent="0.3">
      <c r="C59" s="20">
        <v>50</v>
      </c>
      <c r="D59" s="19" t="s">
        <v>571</v>
      </c>
      <c r="F59" s="24" t="s">
        <v>12</v>
      </c>
      <c r="G59" s="3"/>
      <c r="H59" s="3"/>
      <c r="I59" s="3"/>
    </row>
    <row r="60" spans="3:9" ht="15.7" customHeight="1" x14ac:dyDescent="0.3">
      <c r="C60" s="20">
        <v>51</v>
      </c>
      <c r="D60" s="19" t="s">
        <v>563</v>
      </c>
      <c r="F60" s="24" t="s">
        <v>12</v>
      </c>
      <c r="G60" s="3"/>
      <c r="H60" s="3"/>
      <c r="I60" s="3"/>
    </row>
    <row r="61" spans="3:9" ht="15.7" customHeight="1" x14ac:dyDescent="0.3">
      <c r="C61" s="20">
        <v>52</v>
      </c>
      <c r="D61" s="19" t="s">
        <v>564</v>
      </c>
      <c r="F61" s="24" t="s">
        <v>12</v>
      </c>
      <c r="G61" s="3"/>
      <c r="H61" s="3"/>
      <c r="I61" s="3"/>
    </row>
    <row r="62" spans="3:9" ht="15.7" customHeight="1" x14ac:dyDescent="0.3">
      <c r="C62" s="20">
        <v>53</v>
      </c>
      <c r="D62" s="19" t="s">
        <v>565</v>
      </c>
      <c r="F62" s="24" t="s">
        <v>12</v>
      </c>
      <c r="G62" s="3"/>
      <c r="H62" s="3"/>
      <c r="I62" s="3"/>
    </row>
    <row r="63" spans="3:9" ht="15.7" customHeight="1" x14ac:dyDescent="0.3">
      <c r="C63" s="20">
        <v>54</v>
      </c>
      <c r="D63" s="19" t="s">
        <v>566</v>
      </c>
      <c r="F63" s="24" t="s">
        <v>12</v>
      </c>
      <c r="G63" s="3"/>
      <c r="H63" s="3"/>
      <c r="I63" s="3"/>
    </row>
    <row r="64" spans="3:9" ht="15.7" customHeight="1" x14ac:dyDescent="0.3">
      <c r="C64" s="20">
        <v>55</v>
      </c>
      <c r="D64" s="19" t="s">
        <v>567</v>
      </c>
      <c r="F64" s="24" t="s">
        <v>12</v>
      </c>
      <c r="G64" s="3"/>
      <c r="H64" s="3"/>
      <c r="I64" s="3"/>
    </row>
    <row r="65" spans="3:9" ht="15.7" customHeight="1" x14ac:dyDescent="0.3">
      <c r="C65" s="20">
        <v>56</v>
      </c>
      <c r="D65" s="19" t="s">
        <v>568</v>
      </c>
      <c r="F65" s="24" t="s">
        <v>12</v>
      </c>
      <c r="G65" s="3"/>
      <c r="H65" s="3"/>
      <c r="I65" s="3"/>
    </row>
    <row r="66" spans="3:9" ht="15.7" customHeight="1" x14ac:dyDescent="0.3">
      <c r="C66" s="32"/>
      <c r="D66" s="23"/>
    </row>
    <row r="67" spans="3:9" ht="15.7" customHeight="1" x14ac:dyDescent="0.3"/>
    <row r="68" spans="3:9" ht="15.7" customHeight="1" x14ac:dyDescent="0.3">
      <c r="C68" s="88" t="s">
        <v>14</v>
      </c>
      <c r="D68" s="70"/>
      <c r="F68" s="6" t="s">
        <v>1</v>
      </c>
      <c r="G68" s="6" t="s">
        <v>3</v>
      </c>
      <c r="H68" s="6" t="s">
        <v>5</v>
      </c>
      <c r="I68" s="6" t="s">
        <v>10</v>
      </c>
    </row>
    <row r="69" spans="3:9" ht="15.7" customHeight="1" x14ac:dyDescent="0.3">
      <c r="C69" s="31">
        <v>1</v>
      </c>
      <c r="D69" s="19" t="s">
        <v>572</v>
      </c>
      <c r="F69" s="24" t="s">
        <v>12</v>
      </c>
      <c r="G69" s="3"/>
      <c r="H69" s="3"/>
      <c r="I69" s="3"/>
    </row>
    <row r="70" spans="3:9" ht="15.7" customHeight="1" x14ac:dyDescent="0.3">
      <c r="C70" s="31">
        <v>2</v>
      </c>
      <c r="D70" s="19" t="s">
        <v>573</v>
      </c>
      <c r="F70" s="24" t="s">
        <v>12</v>
      </c>
      <c r="G70" s="3"/>
      <c r="H70" s="3"/>
      <c r="I70" s="3"/>
    </row>
    <row r="71" spans="3:9" ht="15.7" customHeight="1" x14ac:dyDescent="0.3">
      <c r="C71" s="31">
        <v>3</v>
      </c>
      <c r="D71" s="19" t="s">
        <v>574</v>
      </c>
      <c r="F71" s="24" t="s">
        <v>12</v>
      </c>
      <c r="G71" s="3"/>
      <c r="H71" s="3"/>
      <c r="I71" s="3"/>
    </row>
    <row r="72" spans="3:9" ht="15.7" customHeight="1" x14ac:dyDescent="0.3">
      <c r="C72" s="31">
        <v>4</v>
      </c>
      <c r="D72" s="19" t="s">
        <v>575</v>
      </c>
      <c r="F72" s="24" t="s">
        <v>12</v>
      </c>
      <c r="G72" s="3"/>
      <c r="H72" s="3"/>
      <c r="I72" s="3"/>
    </row>
    <row r="73" spans="3:9" ht="15.7" customHeight="1" x14ac:dyDescent="0.3">
      <c r="C73" s="31">
        <v>5</v>
      </c>
      <c r="D73" s="19" t="s">
        <v>576</v>
      </c>
      <c r="F73" s="24" t="s">
        <v>12</v>
      </c>
      <c r="G73" s="3"/>
      <c r="H73" s="3"/>
      <c r="I73" s="3"/>
    </row>
    <row r="74" spans="3:9" ht="15.7" customHeight="1" x14ac:dyDescent="0.3">
      <c r="C74" s="31">
        <v>6</v>
      </c>
      <c r="D74" s="19" t="s">
        <v>606</v>
      </c>
      <c r="F74" s="24" t="s">
        <v>12</v>
      </c>
      <c r="G74" s="3"/>
      <c r="H74" s="3"/>
      <c r="I74" s="3"/>
    </row>
    <row r="75" spans="3:9" ht="15.7" customHeight="1" x14ac:dyDescent="0.3">
      <c r="C75" s="31">
        <v>7</v>
      </c>
      <c r="D75" s="19" t="s">
        <v>577</v>
      </c>
      <c r="F75" s="24" t="s">
        <v>12</v>
      </c>
      <c r="G75" s="3"/>
      <c r="H75" s="3"/>
      <c r="I75" s="3"/>
    </row>
    <row r="76" spans="3:9" ht="15.7" customHeight="1" x14ac:dyDescent="0.3">
      <c r="C76" s="31">
        <v>8</v>
      </c>
      <c r="D76" s="19" t="s">
        <v>578</v>
      </c>
      <c r="F76" s="24" t="s">
        <v>12</v>
      </c>
      <c r="G76" s="3"/>
      <c r="H76" s="3"/>
      <c r="I76" s="3"/>
    </row>
    <row r="77" spans="3:9" ht="15.7" customHeight="1" x14ac:dyDescent="0.3">
      <c r="C77" s="31">
        <v>9</v>
      </c>
      <c r="D77" s="19" t="s">
        <v>579</v>
      </c>
      <c r="F77" s="24" t="s">
        <v>12</v>
      </c>
      <c r="G77" s="3"/>
      <c r="H77" s="3"/>
      <c r="I77" s="3"/>
    </row>
    <row r="78" spans="3:9" ht="15.7" customHeight="1" x14ac:dyDescent="0.3">
      <c r="C78" s="31">
        <v>10</v>
      </c>
      <c r="D78" s="19" t="s">
        <v>580</v>
      </c>
      <c r="F78" s="24" t="s">
        <v>12</v>
      </c>
      <c r="G78" s="3"/>
      <c r="H78" s="3"/>
      <c r="I78" s="3"/>
    </row>
    <row r="79" spans="3:9" ht="15.7" customHeight="1" x14ac:dyDescent="0.3">
      <c r="C79" s="31">
        <v>11</v>
      </c>
      <c r="D79" s="19" t="s">
        <v>581</v>
      </c>
      <c r="F79" s="24" t="s">
        <v>12</v>
      </c>
      <c r="G79" s="3"/>
      <c r="H79" s="3"/>
      <c r="I79" s="3"/>
    </row>
    <row r="80" spans="3:9" ht="15.7" customHeight="1" x14ac:dyDescent="0.3">
      <c r="C80" s="31">
        <v>12</v>
      </c>
      <c r="D80" s="19" t="s">
        <v>582</v>
      </c>
      <c r="F80" s="24" t="s">
        <v>12</v>
      </c>
      <c r="G80" s="3"/>
      <c r="H80" s="3"/>
      <c r="I80" s="3"/>
    </row>
    <row r="81" spans="3:9" ht="15.7" customHeight="1" x14ac:dyDescent="0.3">
      <c r="C81" s="31">
        <v>13</v>
      </c>
      <c r="D81" s="19" t="s">
        <v>607</v>
      </c>
      <c r="F81" s="24" t="s">
        <v>12</v>
      </c>
      <c r="G81" s="3"/>
      <c r="H81" s="3"/>
      <c r="I81" s="3"/>
    </row>
    <row r="82" spans="3:9" ht="15.7" customHeight="1" x14ac:dyDescent="0.3">
      <c r="C82" s="31">
        <v>14</v>
      </c>
      <c r="D82" s="19" t="s">
        <v>583</v>
      </c>
      <c r="F82" s="24" t="s">
        <v>12</v>
      </c>
      <c r="G82" s="3"/>
      <c r="H82" s="3"/>
      <c r="I82" s="3"/>
    </row>
    <row r="83" spans="3:9" ht="15.7" customHeight="1" x14ac:dyDescent="0.3">
      <c r="C83" s="31">
        <v>15</v>
      </c>
      <c r="D83" s="19" t="s">
        <v>584</v>
      </c>
      <c r="F83" s="24" t="s">
        <v>12</v>
      </c>
      <c r="G83" s="3"/>
      <c r="H83" s="3"/>
      <c r="I83" s="3"/>
    </row>
    <row r="84" spans="3:9" ht="15.7" customHeight="1" x14ac:dyDescent="0.3">
      <c r="C84" s="31">
        <v>16</v>
      </c>
      <c r="D84" s="19" t="s">
        <v>585</v>
      </c>
      <c r="F84" s="24" t="s">
        <v>12</v>
      </c>
      <c r="G84" s="3"/>
      <c r="H84" s="3"/>
      <c r="I84" s="3"/>
    </row>
    <row r="85" spans="3:9" ht="15.7" customHeight="1" x14ac:dyDescent="0.3">
      <c r="C85" s="31">
        <v>17</v>
      </c>
      <c r="D85" s="19" t="s">
        <v>395</v>
      </c>
      <c r="F85" s="24" t="s">
        <v>12</v>
      </c>
      <c r="G85" s="3"/>
      <c r="H85" s="3"/>
      <c r="I85" s="3"/>
    </row>
    <row r="86" spans="3:9" ht="15.7" customHeight="1" x14ac:dyDescent="0.3">
      <c r="C86" s="31">
        <v>18</v>
      </c>
      <c r="D86" s="19" t="s">
        <v>586</v>
      </c>
      <c r="F86" s="24" t="s">
        <v>12</v>
      </c>
      <c r="G86" s="4"/>
      <c r="H86" s="3"/>
      <c r="I86" s="3"/>
    </row>
    <row r="87" spans="3:9" ht="15.7" customHeight="1" x14ac:dyDescent="0.3">
      <c r="C87" s="31">
        <v>19</v>
      </c>
      <c r="D87" s="19" t="s">
        <v>587</v>
      </c>
      <c r="F87" s="24" t="s">
        <v>12</v>
      </c>
      <c r="G87" s="4"/>
      <c r="H87" s="3"/>
      <c r="I87" s="3"/>
    </row>
    <row r="88" spans="3:9" ht="15.7" customHeight="1" x14ac:dyDescent="0.3">
      <c r="C88" s="31">
        <v>20</v>
      </c>
      <c r="D88" s="19" t="s">
        <v>588</v>
      </c>
      <c r="F88" s="24" t="s">
        <v>12</v>
      </c>
      <c r="G88" s="4"/>
      <c r="H88" s="3"/>
      <c r="I88" s="3"/>
    </row>
    <row r="89" spans="3:9" ht="15.7" customHeight="1" x14ac:dyDescent="0.3">
      <c r="C89" s="31">
        <v>21</v>
      </c>
      <c r="D89" s="19" t="s">
        <v>589</v>
      </c>
      <c r="F89" s="24" t="s">
        <v>12</v>
      </c>
      <c r="G89" s="4"/>
      <c r="H89" s="3"/>
      <c r="I89" s="3"/>
    </row>
    <row r="90" spans="3:9" ht="15.7" customHeight="1" x14ac:dyDescent="0.3">
      <c r="C90" s="31">
        <v>22</v>
      </c>
      <c r="D90" s="19" t="s">
        <v>608</v>
      </c>
      <c r="F90" s="24" t="s">
        <v>12</v>
      </c>
      <c r="G90" s="4"/>
      <c r="H90" s="3"/>
      <c r="I90" s="3"/>
    </row>
    <row r="91" spans="3:9" ht="15.7" customHeight="1" x14ac:dyDescent="0.3">
      <c r="C91" s="31">
        <v>23</v>
      </c>
      <c r="D91" s="19" t="s">
        <v>590</v>
      </c>
      <c r="F91" s="24" t="s">
        <v>12</v>
      </c>
      <c r="G91" s="4"/>
      <c r="H91" s="3"/>
      <c r="I91" s="3"/>
    </row>
    <row r="92" spans="3:9" ht="15.7" customHeight="1" x14ac:dyDescent="0.3">
      <c r="C92" s="31">
        <v>24</v>
      </c>
      <c r="D92" s="19" t="s">
        <v>609</v>
      </c>
      <c r="F92" s="24" t="s">
        <v>12</v>
      </c>
      <c r="G92" s="4"/>
      <c r="H92" s="3"/>
      <c r="I92" s="3"/>
    </row>
    <row r="93" spans="3:9" ht="15.7" customHeight="1" x14ac:dyDescent="0.3">
      <c r="C93" s="31">
        <v>25</v>
      </c>
      <c r="D93" s="19" t="s">
        <v>610</v>
      </c>
      <c r="F93" s="24" t="s">
        <v>12</v>
      </c>
      <c r="G93" s="4"/>
      <c r="H93" s="3"/>
      <c r="I93" s="3"/>
    </row>
    <row r="94" spans="3:9" ht="15.7" customHeight="1" x14ac:dyDescent="0.3">
      <c r="C94" s="31">
        <v>26</v>
      </c>
      <c r="D94" s="19" t="s">
        <v>591</v>
      </c>
      <c r="F94" s="24" t="s">
        <v>12</v>
      </c>
      <c r="G94" s="4"/>
      <c r="H94" s="3"/>
      <c r="I94" s="3"/>
    </row>
    <row r="95" spans="3:9" ht="15.7" customHeight="1" x14ac:dyDescent="0.3">
      <c r="C95" s="31">
        <v>27</v>
      </c>
      <c r="D95" s="19" t="s">
        <v>592</v>
      </c>
      <c r="F95" s="24" t="s">
        <v>12</v>
      </c>
      <c r="G95" s="4"/>
      <c r="H95" s="3"/>
      <c r="I95" s="3"/>
    </row>
    <row r="96" spans="3:9" ht="15.7" customHeight="1" x14ac:dyDescent="0.3">
      <c r="C96" s="31">
        <v>28</v>
      </c>
      <c r="D96" s="19" t="s">
        <v>593</v>
      </c>
      <c r="F96" s="24" t="s">
        <v>12</v>
      </c>
      <c r="G96" s="4"/>
      <c r="H96" s="3"/>
      <c r="I96" s="3"/>
    </row>
    <row r="97" spans="3:9" ht="15.7" customHeight="1" x14ac:dyDescent="0.3">
      <c r="C97" s="31">
        <v>29</v>
      </c>
      <c r="D97" s="19" t="s">
        <v>594</v>
      </c>
      <c r="F97" s="24" t="s">
        <v>12</v>
      </c>
      <c r="G97" s="4"/>
      <c r="H97" s="3"/>
      <c r="I97" s="3"/>
    </row>
    <row r="98" spans="3:9" ht="15.7" customHeight="1" x14ac:dyDescent="0.3">
      <c r="C98" s="31">
        <v>30</v>
      </c>
      <c r="D98" s="19" t="s">
        <v>595</v>
      </c>
      <c r="F98" s="24" t="s">
        <v>12</v>
      </c>
      <c r="G98" s="4"/>
      <c r="H98" s="3"/>
      <c r="I98" s="3"/>
    </row>
    <row r="99" spans="3:9" ht="15.7" customHeight="1" x14ac:dyDescent="0.3">
      <c r="C99" s="31">
        <v>31</v>
      </c>
      <c r="D99" s="21" t="s">
        <v>596</v>
      </c>
      <c r="F99" s="24" t="s">
        <v>12</v>
      </c>
      <c r="G99" s="4"/>
      <c r="H99" s="3"/>
      <c r="I99" s="3"/>
    </row>
    <row r="100" spans="3:9" ht="15.7" customHeight="1" x14ac:dyDescent="0.3">
      <c r="C100" s="31">
        <v>32</v>
      </c>
      <c r="D100" s="21" t="s">
        <v>597</v>
      </c>
      <c r="F100" s="24" t="s">
        <v>12</v>
      </c>
      <c r="G100" s="4"/>
      <c r="H100" s="3"/>
      <c r="I100" s="3"/>
    </row>
    <row r="101" spans="3:9" ht="15.7" customHeight="1" x14ac:dyDescent="0.3">
      <c r="C101" s="31">
        <v>33</v>
      </c>
      <c r="D101" s="21" t="s">
        <v>598</v>
      </c>
      <c r="F101" s="24" t="s">
        <v>12</v>
      </c>
      <c r="G101" s="4"/>
      <c r="H101" s="3"/>
      <c r="I101" s="3"/>
    </row>
    <row r="102" spans="3:9" ht="15.7" customHeight="1" x14ac:dyDescent="0.3">
      <c r="C102" s="31">
        <v>34</v>
      </c>
      <c r="D102" s="21" t="s">
        <v>599</v>
      </c>
      <c r="F102" s="24" t="s">
        <v>12</v>
      </c>
      <c r="G102" s="4"/>
      <c r="H102" s="3"/>
      <c r="I102" s="3"/>
    </row>
    <row r="103" spans="3:9" ht="15.7" customHeight="1" x14ac:dyDescent="0.3">
      <c r="C103" s="31">
        <v>35</v>
      </c>
      <c r="D103" s="21" t="s">
        <v>600</v>
      </c>
      <c r="F103" s="24" t="s">
        <v>12</v>
      </c>
      <c r="G103" s="4"/>
      <c r="H103" s="3"/>
      <c r="I103" s="3"/>
    </row>
    <row r="104" spans="3:9" ht="15.7" customHeight="1" x14ac:dyDescent="0.3">
      <c r="C104" s="31">
        <v>36</v>
      </c>
      <c r="D104" s="21" t="s">
        <v>601</v>
      </c>
      <c r="F104" s="24" t="s">
        <v>12</v>
      </c>
      <c r="G104" s="4"/>
      <c r="H104" s="3"/>
      <c r="I104" s="3"/>
    </row>
    <row r="105" spans="3:9" ht="15.7" customHeight="1" x14ac:dyDescent="0.3">
      <c r="C105" s="31">
        <v>37</v>
      </c>
      <c r="D105" s="21" t="s">
        <v>602</v>
      </c>
      <c r="F105" s="24" t="s">
        <v>12</v>
      </c>
      <c r="G105" s="4"/>
      <c r="H105" s="3"/>
      <c r="I105" s="3"/>
    </row>
    <row r="106" spans="3:9" ht="15.7" customHeight="1" x14ac:dyDescent="0.3">
      <c r="C106" s="31">
        <v>38</v>
      </c>
      <c r="D106" s="21" t="s">
        <v>603</v>
      </c>
      <c r="F106" s="24" t="s">
        <v>12</v>
      </c>
      <c r="G106" s="4"/>
      <c r="H106" s="3"/>
      <c r="I106" s="3"/>
    </row>
    <row r="107" spans="3:9" ht="15.7" customHeight="1" x14ac:dyDescent="0.3">
      <c r="C107" s="31">
        <v>39</v>
      </c>
      <c r="D107" s="21" t="s">
        <v>604</v>
      </c>
      <c r="F107" s="24" t="s">
        <v>12</v>
      </c>
      <c r="G107" s="4"/>
      <c r="H107" s="3"/>
      <c r="I107" s="3"/>
    </row>
    <row r="108" spans="3:9" ht="15.7" customHeight="1" x14ac:dyDescent="0.3">
      <c r="C108" s="31">
        <v>40</v>
      </c>
      <c r="D108" s="21" t="s">
        <v>605</v>
      </c>
      <c r="F108" s="24" t="s">
        <v>12</v>
      </c>
      <c r="G108" s="4"/>
      <c r="H108" s="3"/>
      <c r="I108" s="3"/>
    </row>
    <row r="109" spans="3:9" ht="15.7" customHeight="1" x14ac:dyDescent="0.3"/>
    <row r="110" spans="3:9" ht="15.7" customHeight="1" x14ac:dyDescent="0.3"/>
    <row r="111" spans="3:9" ht="15.7" customHeight="1" x14ac:dyDescent="0.3"/>
    <row r="112" spans="3:9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</sheetData>
  <mergeCells count="4">
    <mergeCell ref="B2:I2"/>
    <mergeCell ref="F8:H8"/>
    <mergeCell ref="C9:D9"/>
    <mergeCell ref="C68:D6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6337778862885"/>
  </sheetPr>
  <dimension ref="B1:I1070"/>
  <sheetViews>
    <sheetView topLeftCell="A119" workbookViewId="0"/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1296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31">
        <v>1</v>
      </c>
      <c r="D10" s="19" t="s">
        <v>611</v>
      </c>
      <c r="F10" s="24" t="s">
        <v>12</v>
      </c>
      <c r="G10" s="3"/>
      <c r="H10" s="3"/>
      <c r="I10" s="3"/>
    </row>
    <row r="11" spans="2:9" x14ac:dyDescent="0.3">
      <c r="C11" s="31">
        <v>2</v>
      </c>
      <c r="D11" s="19" t="s">
        <v>612</v>
      </c>
      <c r="F11" s="24" t="s">
        <v>12</v>
      </c>
      <c r="G11" s="3"/>
      <c r="H11" s="3"/>
      <c r="I11" s="3"/>
    </row>
    <row r="12" spans="2:9" x14ac:dyDescent="0.3">
      <c r="C12" s="31">
        <v>3</v>
      </c>
      <c r="D12" s="19" t="s">
        <v>613</v>
      </c>
      <c r="F12" s="24" t="s">
        <v>12</v>
      </c>
      <c r="G12" s="3"/>
      <c r="H12" s="3"/>
      <c r="I12" s="3"/>
    </row>
    <row r="13" spans="2:9" x14ac:dyDescent="0.3">
      <c r="C13" s="31">
        <v>4</v>
      </c>
      <c r="D13" s="19" t="s">
        <v>614</v>
      </c>
      <c r="F13" s="24" t="s">
        <v>12</v>
      </c>
      <c r="G13" s="3"/>
      <c r="H13" s="3"/>
      <c r="I13" s="3"/>
    </row>
    <row r="14" spans="2:9" x14ac:dyDescent="0.3">
      <c r="C14" s="31">
        <v>5</v>
      </c>
      <c r="D14" s="19" t="s">
        <v>615</v>
      </c>
      <c r="F14" s="24" t="s">
        <v>12</v>
      </c>
      <c r="G14" s="3"/>
      <c r="H14" s="3"/>
      <c r="I14" s="3"/>
    </row>
    <row r="15" spans="2:9" x14ac:dyDescent="0.3">
      <c r="C15" s="31">
        <v>6</v>
      </c>
      <c r="D15" s="19" t="s">
        <v>616</v>
      </c>
      <c r="F15" s="24" t="s">
        <v>12</v>
      </c>
      <c r="G15" s="3"/>
      <c r="H15" s="3"/>
      <c r="I15" s="3"/>
    </row>
    <row r="16" spans="2:9" x14ac:dyDescent="0.3">
      <c r="C16" s="31">
        <v>7</v>
      </c>
      <c r="D16" s="19" t="s">
        <v>617</v>
      </c>
      <c r="F16" s="24" t="s">
        <v>12</v>
      </c>
      <c r="G16" s="3"/>
      <c r="H16" s="3"/>
      <c r="I16" s="3"/>
    </row>
    <row r="17" spans="3:9" x14ac:dyDescent="0.3">
      <c r="C17" s="31">
        <v>8</v>
      </c>
      <c r="D17" s="19" t="s">
        <v>618</v>
      </c>
      <c r="F17" s="24" t="s">
        <v>12</v>
      </c>
      <c r="G17" s="3"/>
      <c r="H17" s="3"/>
      <c r="I17" s="3"/>
    </row>
    <row r="18" spans="3:9" x14ac:dyDescent="0.3">
      <c r="C18" s="31">
        <v>9</v>
      </c>
      <c r="D18" s="19" t="s">
        <v>619</v>
      </c>
      <c r="F18" s="24" t="s">
        <v>12</v>
      </c>
      <c r="G18" s="3"/>
      <c r="H18" s="3"/>
      <c r="I18" s="3"/>
    </row>
    <row r="19" spans="3:9" x14ac:dyDescent="0.3">
      <c r="C19" s="31">
        <v>10</v>
      </c>
      <c r="D19" s="19" t="s">
        <v>620</v>
      </c>
      <c r="F19" s="24" t="s">
        <v>12</v>
      </c>
      <c r="G19" s="3"/>
      <c r="H19" s="3"/>
      <c r="I19" s="3"/>
    </row>
    <row r="20" spans="3:9" x14ac:dyDescent="0.3">
      <c r="C20" s="31">
        <v>11</v>
      </c>
      <c r="D20" s="19" t="s">
        <v>621</v>
      </c>
      <c r="F20" s="24" t="s">
        <v>12</v>
      </c>
      <c r="G20" s="3"/>
      <c r="H20" s="3"/>
      <c r="I20" s="3"/>
    </row>
    <row r="21" spans="3:9" x14ac:dyDescent="0.3">
      <c r="C21" s="31">
        <v>12</v>
      </c>
      <c r="D21" s="19" t="s">
        <v>622</v>
      </c>
      <c r="F21" s="24" t="s">
        <v>12</v>
      </c>
      <c r="G21" s="3"/>
      <c r="H21" s="3"/>
      <c r="I21" s="3"/>
    </row>
    <row r="22" spans="3:9" x14ac:dyDescent="0.3">
      <c r="C22" s="31">
        <v>13</v>
      </c>
      <c r="D22" s="19" t="s">
        <v>623</v>
      </c>
      <c r="F22" s="24" t="s">
        <v>12</v>
      </c>
      <c r="G22" s="3"/>
      <c r="H22" s="3"/>
      <c r="I22" s="3"/>
    </row>
    <row r="23" spans="3:9" x14ac:dyDescent="0.3">
      <c r="C23" s="31">
        <v>14</v>
      </c>
      <c r="D23" s="19" t="s">
        <v>624</v>
      </c>
      <c r="F23" s="24" t="s">
        <v>12</v>
      </c>
      <c r="G23" s="3"/>
      <c r="H23" s="3"/>
      <c r="I23" s="3"/>
    </row>
    <row r="24" spans="3:9" x14ac:dyDescent="0.3">
      <c r="C24" s="31">
        <v>15</v>
      </c>
      <c r="D24" s="19" t="s">
        <v>625</v>
      </c>
      <c r="F24" s="24" t="s">
        <v>12</v>
      </c>
      <c r="G24" s="3"/>
      <c r="H24" s="3"/>
      <c r="I24" s="3"/>
    </row>
    <row r="25" spans="3:9" x14ac:dyDescent="0.3">
      <c r="C25" s="31">
        <v>16</v>
      </c>
      <c r="D25" s="19" t="s">
        <v>626</v>
      </c>
      <c r="F25" s="24" t="s">
        <v>12</v>
      </c>
      <c r="G25" s="3"/>
      <c r="H25" s="3"/>
      <c r="I25" s="3"/>
    </row>
    <row r="26" spans="3:9" x14ac:dyDescent="0.3">
      <c r="C26" s="31">
        <v>17</v>
      </c>
      <c r="D26" s="19" t="s">
        <v>627</v>
      </c>
      <c r="F26" s="24" t="s">
        <v>12</v>
      </c>
      <c r="G26" s="3"/>
      <c r="H26" s="3"/>
      <c r="I26" s="3"/>
    </row>
    <row r="27" spans="3:9" x14ac:dyDescent="0.3">
      <c r="C27" s="31">
        <v>18</v>
      </c>
      <c r="D27" s="19" t="s">
        <v>628</v>
      </c>
      <c r="F27" s="24" t="s">
        <v>12</v>
      </c>
      <c r="G27" s="3"/>
      <c r="H27" s="3"/>
      <c r="I27" s="3"/>
    </row>
    <row r="28" spans="3:9" x14ac:dyDescent="0.3">
      <c r="C28" s="31">
        <v>19</v>
      </c>
      <c r="D28" s="19" t="s">
        <v>629</v>
      </c>
      <c r="F28" s="24" t="s">
        <v>12</v>
      </c>
      <c r="G28" s="3"/>
      <c r="H28" s="3"/>
      <c r="I28" s="3"/>
    </row>
    <row r="29" spans="3:9" x14ac:dyDescent="0.3">
      <c r="C29" s="31">
        <v>20</v>
      </c>
      <c r="D29" s="19" t="s">
        <v>630</v>
      </c>
      <c r="F29" s="24" t="s">
        <v>12</v>
      </c>
      <c r="G29" s="3"/>
      <c r="H29" s="3"/>
      <c r="I29" s="3"/>
    </row>
    <row r="30" spans="3:9" x14ac:dyDescent="0.3">
      <c r="C30" s="31">
        <v>21</v>
      </c>
      <c r="D30" s="19" t="s">
        <v>679</v>
      </c>
      <c r="F30" s="24" t="s">
        <v>12</v>
      </c>
      <c r="G30" s="3"/>
      <c r="H30" s="3"/>
      <c r="I30" s="3"/>
    </row>
    <row r="31" spans="3:9" x14ac:dyDescent="0.3">
      <c r="C31" s="31">
        <v>22</v>
      </c>
      <c r="D31" s="19" t="s">
        <v>631</v>
      </c>
      <c r="F31" s="24" t="s">
        <v>12</v>
      </c>
      <c r="G31" s="3"/>
      <c r="H31" s="3"/>
      <c r="I31" s="3"/>
    </row>
    <row r="32" spans="3:9" x14ac:dyDescent="0.3">
      <c r="C32" s="31">
        <v>23</v>
      </c>
      <c r="D32" s="19" t="s">
        <v>632</v>
      </c>
      <c r="F32" s="24" t="s">
        <v>12</v>
      </c>
      <c r="G32" s="3"/>
      <c r="H32" s="3"/>
      <c r="I32" s="3"/>
    </row>
    <row r="33" spans="3:9" x14ac:dyDescent="0.3">
      <c r="C33" s="31">
        <v>24</v>
      </c>
      <c r="D33" s="19" t="s">
        <v>633</v>
      </c>
      <c r="F33" s="24" t="s">
        <v>12</v>
      </c>
      <c r="G33" s="3"/>
      <c r="H33" s="3"/>
      <c r="I33" s="3"/>
    </row>
    <row r="34" spans="3:9" x14ac:dyDescent="0.3">
      <c r="C34" s="31">
        <v>25</v>
      </c>
      <c r="D34" s="19" t="s">
        <v>680</v>
      </c>
      <c r="F34" s="24" t="s">
        <v>12</v>
      </c>
      <c r="G34" s="3"/>
      <c r="H34" s="3"/>
      <c r="I34" s="3"/>
    </row>
    <row r="35" spans="3:9" x14ac:dyDescent="0.3">
      <c r="C35" s="31">
        <v>26</v>
      </c>
      <c r="D35" s="19" t="s">
        <v>634</v>
      </c>
      <c r="F35" s="24" t="s">
        <v>12</v>
      </c>
      <c r="G35" s="3"/>
      <c r="H35" s="3"/>
      <c r="I35" s="3"/>
    </row>
    <row r="36" spans="3:9" x14ac:dyDescent="0.3">
      <c r="C36" s="31">
        <v>27</v>
      </c>
      <c r="D36" s="19" t="s">
        <v>635</v>
      </c>
      <c r="F36" s="24" t="s">
        <v>12</v>
      </c>
      <c r="G36" s="3"/>
      <c r="H36" s="3"/>
      <c r="I36" s="3"/>
    </row>
    <row r="37" spans="3:9" x14ac:dyDescent="0.3">
      <c r="C37" s="31">
        <v>28</v>
      </c>
      <c r="D37" s="19" t="s">
        <v>636</v>
      </c>
      <c r="F37" s="24" t="s">
        <v>12</v>
      </c>
      <c r="G37" s="3"/>
      <c r="H37" s="3"/>
      <c r="I37" s="3"/>
    </row>
    <row r="38" spans="3:9" x14ac:dyDescent="0.3">
      <c r="C38" s="31">
        <v>29</v>
      </c>
      <c r="D38" s="19" t="s">
        <v>637</v>
      </c>
      <c r="F38" s="24" t="s">
        <v>12</v>
      </c>
      <c r="G38" s="3"/>
      <c r="H38" s="3"/>
      <c r="I38" s="3"/>
    </row>
    <row r="39" spans="3:9" x14ac:dyDescent="0.3">
      <c r="C39" s="31">
        <v>30</v>
      </c>
      <c r="D39" s="19" t="s">
        <v>681</v>
      </c>
      <c r="F39" s="24" t="s">
        <v>12</v>
      </c>
      <c r="G39" s="3"/>
      <c r="H39" s="3"/>
      <c r="I39" s="3"/>
    </row>
    <row r="40" spans="3:9" x14ac:dyDescent="0.3">
      <c r="C40" s="31">
        <v>31</v>
      </c>
      <c r="D40" s="19" t="s">
        <v>638</v>
      </c>
      <c r="F40" s="24" t="s">
        <v>12</v>
      </c>
      <c r="G40" s="3"/>
      <c r="H40" s="3"/>
      <c r="I40" s="3"/>
    </row>
    <row r="41" spans="3:9" x14ac:dyDescent="0.3">
      <c r="C41" s="31">
        <v>32</v>
      </c>
      <c r="D41" s="19" t="s">
        <v>639</v>
      </c>
      <c r="F41" s="24" t="s">
        <v>12</v>
      </c>
      <c r="G41" s="3"/>
      <c r="H41" s="3"/>
      <c r="I41" s="3"/>
    </row>
    <row r="42" spans="3:9" x14ac:dyDescent="0.3">
      <c r="C42" s="31">
        <v>33</v>
      </c>
      <c r="D42" s="19" t="s">
        <v>640</v>
      </c>
      <c r="F42" s="24" t="s">
        <v>12</v>
      </c>
      <c r="G42" s="3"/>
      <c r="H42" s="3"/>
      <c r="I42" s="3"/>
    </row>
    <row r="43" spans="3:9" x14ac:dyDescent="0.3">
      <c r="C43" s="31">
        <v>34</v>
      </c>
      <c r="D43" s="19" t="s">
        <v>641</v>
      </c>
      <c r="F43" s="24" t="s">
        <v>12</v>
      </c>
      <c r="G43" s="3"/>
      <c r="H43" s="3"/>
      <c r="I43" s="3"/>
    </row>
    <row r="44" spans="3:9" x14ac:dyDescent="0.3">
      <c r="C44" s="31">
        <v>35</v>
      </c>
      <c r="D44" s="19" t="s">
        <v>642</v>
      </c>
      <c r="F44" s="24" t="s">
        <v>12</v>
      </c>
      <c r="G44" s="3"/>
      <c r="H44" s="3"/>
      <c r="I44" s="3"/>
    </row>
    <row r="45" spans="3:9" x14ac:dyDescent="0.3">
      <c r="C45" s="31">
        <v>36</v>
      </c>
      <c r="D45" s="19" t="s">
        <v>643</v>
      </c>
      <c r="F45" s="24" t="s">
        <v>12</v>
      </c>
      <c r="G45" s="3"/>
      <c r="H45" s="3"/>
      <c r="I45" s="3"/>
    </row>
    <row r="46" spans="3:9" x14ac:dyDescent="0.3">
      <c r="C46" s="31">
        <v>37</v>
      </c>
      <c r="D46" s="19" t="s">
        <v>644</v>
      </c>
      <c r="F46" s="24" t="s">
        <v>12</v>
      </c>
      <c r="G46" s="3"/>
      <c r="H46" s="3"/>
      <c r="I46" s="3"/>
    </row>
    <row r="47" spans="3:9" x14ac:dyDescent="0.3">
      <c r="C47" s="31">
        <v>38</v>
      </c>
      <c r="D47" s="19" t="s">
        <v>645</v>
      </c>
      <c r="F47" s="24" t="s">
        <v>12</v>
      </c>
      <c r="G47" s="3"/>
      <c r="H47" s="3"/>
      <c r="I47" s="3"/>
    </row>
    <row r="48" spans="3:9" x14ac:dyDescent="0.3">
      <c r="C48" s="31">
        <v>39</v>
      </c>
      <c r="D48" s="19" t="s">
        <v>646</v>
      </c>
      <c r="F48" s="24" t="s">
        <v>12</v>
      </c>
      <c r="G48" s="3"/>
      <c r="H48" s="3"/>
      <c r="I48" s="3"/>
    </row>
    <row r="49" spans="3:9" x14ac:dyDescent="0.3">
      <c r="C49" s="31">
        <v>40</v>
      </c>
      <c r="D49" s="19" t="s">
        <v>647</v>
      </c>
      <c r="F49" s="24" t="s">
        <v>12</v>
      </c>
      <c r="G49" s="3"/>
      <c r="H49" s="3"/>
      <c r="I49" s="3"/>
    </row>
    <row r="50" spans="3:9" x14ac:dyDescent="0.3">
      <c r="C50" s="31">
        <v>41</v>
      </c>
      <c r="D50" s="19" t="s">
        <v>648</v>
      </c>
      <c r="F50" s="24" t="s">
        <v>12</v>
      </c>
      <c r="G50" s="3"/>
      <c r="H50" s="3"/>
      <c r="I50" s="3"/>
    </row>
    <row r="51" spans="3:9" x14ac:dyDescent="0.3">
      <c r="C51" s="31">
        <v>42</v>
      </c>
      <c r="D51" s="19" t="s">
        <v>649</v>
      </c>
      <c r="F51" s="24" t="s">
        <v>12</v>
      </c>
      <c r="G51" s="3"/>
      <c r="H51" s="3"/>
      <c r="I51" s="3"/>
    </row>
    <row r="52" spans="3:9" x14ac:dyDescent="0.3">
      <c r="C52" s="31">
        <v>43</v>
      </c>
      <c r="D52" s="19" t="s">
        <v>650</v>
      </c>
      <c r="F52" s="24" t="s">
        <v>12</v>
      </c>
      <c r="G52" s="3"/>
      <c r="H52" s="3"/>
      <c r="I52" s="3"/>
    </row>
    <row r="53" spans="3:9" x14ac:dyDescent="0.3">
      <c r="C53" s="31">
        <v>44</v>
      </c>
      <c r="D53" s="19" t="s">
        <v>651</v>
      </c>
      <c r="F53" s="24" t="s">
        <v>12</v>
      </c>
      <c r="G53" s="3"/>
      <c r="H53" s="3"/>
      <c r="I53" s="3"/>
    </row>
    <row r="54" spans="3:9" x14ac:dyDescent="0.3">
      <c r="C54" s="31">
        <v>45</v>
      </c>
      <c r="D54" s="19" t="s">
        <v>652</v>
      </c>
      <c r="F54" s="24" t="s">
        <v>12</v>
      </c>
      <c r="G54" s="3"/>
      <c r="H54" s="3"/>
      <c r="I54" s="3"/>
    </row>
    <row r="55" spans="3:9" x14ac:dyDescent="0.3">
      <c r="C55" s="31">
        <v>46</v>
      </c>
      <c r="D55" s="19" t="s">
        <v>653</v>
      </c>
      <c r="F55" s="24" t="s">
        <v>12</v>
      </c>
      <c r="G55" s="3"/>
      <c r="H55" s="3"/>
      <c r="I55" s="3"/>
    </row>
    <row r="56" spans="3:9" x14ac:dyDescent="0.3">
      <c r="C56" s="31">
        <v>47</v>
      </c>
      <c r="D56" s="19" t="s">
        <v>654</v>
      </c>
      <c r="F56" s="24" t="s">
        <v>12</v>
      </c>
      <c r="G56" s="3"/>
      <c r="H56" s="3"/>
      <c r="I56" s="3"/>
    </row>
    <row r="57" spans="3:9" x14ac:dyDescent="0.3">
      <c r="C57" s="31">
        <v>48</v>
      </c>
      <c r="D57" s="19" t="s">
        <v>655</v>
      </c>
      <c r="F57" s="24" t="s">
        <v>12</v>
      </c>
      <c r="G57" s="3"/>
      <c r="H57" s="3"/>
      <c r="I57" s="3"/>
    </row>
    <row r="58" spans="3:9" x14ac:dyDescent="0.3">
      <c r="C58" s="31">
        <v>49</v>
      </c>
      <c r="D58" s="19" t="s">
        <v>656</v>
      </c>
      <c r="F58" s="24" t="s">
        <v>12</v>
      </c>
      <c r="G58" s="3"/>
      <c r="H58" s="3"/>
      <c r="I58" s="3"/>
    </row>
    <row r="59" spans="3:9" x14ac:dyDescent="0.3">
      <c r="C59" s="31">
        <v>50</v>
      </c>
      <c r="D59" s="19" t="s">
        <v>657</v>
      </c>
      <c r="F59" s="24" t="s">
        <v>12</v>
      </c>
      <c r="G59" s="3"/>
      <c r="H59" s="3"/>
      <c r="I59" s="3"/>
    </row>
    <row r="60" spans="3:9" x14ac:dyDescent="0.3">
      <c r="C60" s="31">
        <v>51</v>
      </c>
      <c r="D60" s="19" t="s">
        <v>658</v>
      </c>
      <c r="F60" s="24" t="s">
        <v>12</v>
      </c>
      <c r="G60" s="3"/>
      <c r="H60" s="3"/>
      <c r="I60" s="3"/>
    </row>
    <row r="61" spans="3:9" x14ac:dyDescent="0.3">
      <c r="C61" s="31">
        <v>52</v>
      </c>
      <c r="D61" s="19" t="s">
        <v>659</v>
      </c>
      <c r="F61" s="24" t="s">
        <v>12</v>
      </c>
      <c r="G61" s="3"/>
      <c r="H61" s="3"/>
      <c r="I61" s="3"/>
    </row>
    <row r="62" spans="3:9" x14ac:dyDescent="0.3">
      <c r="C62" s="31">
        <v>53</v>
      </c>
      <c r="D62" s="19" t="s">
        <v>660</v>
      </c>
      <c r="F62" s="24" t="s">
        <v>12</v>
      </c>
      <c r="G62" s="3"/>
      <c r="H62" s="3"/>
      <c r="I62" s="3"/>
    </row>
    <row r="63" spans="3:9" x14ac:dyDescent="0.3">
      <c r="C63" s="31">
        <v>54</v>
      </c>
      <c r="D63" s="19" t="s">
        <v>661</v>
      </c>
      <c r="F63" s="24" t="s">
        <v>12</v>
      </c>
      <c r="G63" s="3"/>
      <c r="H63" s="3"/>
      <c r="I63" s="3"/>
    </row>
    <row r="64" spans="3:9" x14ac:dyDescent="0.3">
      <c r="C64" s="31">
        <v>55</v>
      </c>
      <c r="D64" s="19" t="s">
        <v>662</v>
      </c>
      <c r="F64" s="24" t="s">
        <v>12</v>
      </c>
      <c r="G64" s="3"/>
      <c r="H64" s="3"/>
      <c r="I64" s="3"/>
    </row>
    <row r="65" spans="3:9" x14ac:dyDescent="0.3">
      <c r="C65" s="31">
        <v>56</v>
      </c>
      <c r="D65" s="19" t="s">
        <v>663</v>
      </c>
      <c r="F65" s="24" t="s">
        <v>12</v>
      </c>
      <c r="G65" s="3"/>
      <c r="H65" s="3"/>
      <c r="I65" s="3"/>
    </row>
    <row r="66" spans="3:9" x14ac:dyDescent="0.3">
      <c r="C66" s="31">
        <v>57</v>
      </c>
      <c r="D66" s="19" t="s">
        <v>682</v>
      </c>
      <c r="F66" s="24" t="s">
        <v>12</v>
      </c>
      <c r="G66" s="3"/>
      <c r="H66" s="3"/>
      <c r="I66" s="3"/>
    </row>
    <row r="67" spans="3:9" x14ac:dyDescent="0.3">
      <c r="C67" s="31">
        <v>58</v>
      </c>
      <c r="D67" s="19" t="s">
        <v>683</v>
      </c>
      <c r="F67" s="24" t="s">
        <v>12</v>
      </c>
      <c r="G67" s="3"/>
      <c r="H67" s="3"/>
      <c r="I67" s="3"/>
    </row>
    <row r="68" spans="3:9" x14ac:dyDescent="0.3">
      <c r="C68" s="31">
        <v>59</v>
      </c>
      <c r="D68" s="19" t="s">
        <v>664</v>
      </c>
      <c r="F68" s="24" t="s">
        <v>12</v>
      </c>
      <c r="G68" s="3"/>
      <c r="H68" s="3"/>
      <c r="I68" s="3"/>
    </row>
    <row r="69" spans="3:9" x14ac:dyDescent="0.3">
      <c r="C69" s="31">
        <v>60</v>
      </c>
      <c r="D69" s="19" t="s">
        <v>665</v>
      </c>
      <c r="F69" s="24" t="s">
        <v>12</v>
      </c>
      <c r="G69" s="3"/>
      <c r="H69" s="3"/>
      <c r="I69" s="3"/>
    </row>
    <row r="70" spans="3:9" x14ac:dyDescent="0.3">
      <c r="C70" s="31">
        <v>61</v>
      </c>
      <c r="D70" s="19" t="s">
        <v>666</v>
      </c>
      <c r="F70" s="24" t="s">
        <v>12</v>
      </c>
      <c r="G70" s="3"/>
      <c r="H70" s="3"/>
      <c r="I70" s="3"/>
    </row>
    <row r="71" spans="3:9" x14ac:dyDescent="0.3">
      <c r="C71" s="31">
        <v>62</v>
      </c>
      <c r="D71" s="19" t="s">
        <v>667</v>
      </c>
      <c r="F71" s="24" t="s">
        <v>12</v>
      </c>
      <c r="G71" s="3"/>
      <c r="H71" s="3"/>
      <c r="I71" s="3"/>
    </row>
    <row r="72" spans="3:9" x14ac:dyDescent="0.3">
      <c r="C72" s="31">
        <v>63</v>
      </c>
      <c r="D72" s="19" t="s">
        <v>668</v>
      </c>
      <c r="F72" s="24" t="s">
        <v>12</v>
      </c>
      <c r="G72" s="3"/>
      <c r="H72" s="3"/>
      <c r="I72" s="3"/>
    </row>
    <row r="73" spans="3:9" x14ac:dyDescent="0.3">
      <c r="C73" s="31">
        <v>64</v>
      </c>
      <c r="D73" s="19" t="s">
        <v>669</v>
      </c>
      <c r="F73" s="24" t="s">
        <v>12</v>
      </c>
      <c r="G73" s="3"/>
      <c r="H73" s="3"/>
      <c r="I73" s="3"/>
    </row>
    <row r="74" spans="3:9" x14ac:dyDescent="0.3">
      <c r="C74" s="31">
        <v>65</v>
      </c>
      <c r="D74" s="19" t="s">
        <v>670</v>
      </c>
      <c r="F74" s="24" t="s">
        <v>12</v>
      </c>
      <c r="G74" s="3"/>
      <c r="H74" s="3"/>
      <c r="I74" s="3"/>
    </row>
    <row r="75" spans="3:9" x14ac:dyDescent="0.3">
      <c r="C75" s="31">
        <v>66</v>
      </c>
      <c r="D75" s="19" t="s">
        <v>671</v>
      </c>
      <c r="F75" s="24" t="s">
        <v>12</v>
      </c>
      <c r="G75" s="3"/>
      <c r="H75" s="3"/>
      <c r="I75" s="3"/>
    </row>
    <row r="76" spans="3:9" x14ac:dyDescent="0.3">
      <c r="C76" s="31">
        <v>67</v>
      </c>
      <c r="D76" s="19" t="s">
        <v>672</v>
      </c>
      <c r="F76" s="24" t="s">
        <v>12</v>
      </c>
      <c r="G76" s="3"/>
      <c r="H76" s="3"/>
      <c r="I76" s="3"/>
    </row>
    <row r="77" spans="3:9" x14ac:dyDescent="0.3">
      <c r="C77" s="31">
        <v>68</v>
      </c>
      <c r="D77" s="19" t="s">
        <v>673</v>
      </c>
      <c r="F77" s="24" t="s">
        <v>12</v>
      </c>
      <c r="G77" s="3"/>
      <c r="H77" s="3"/>
      <c r="I77" s="3"/>
    </row>
    <row r="78" spans="3:9" x14ac:dyDescent="0.3">
      <c r="C78" s="31">
        <v>69</v>
      </c>
      <c r="D78" s="19" t="s">
        <v>674</v>
      </c>
      <c r="F78" s="24" t="s">
        <v>12</v>
      </c>
      <c r="G78" s="3"/>
      <c r="H78" s="3"/>
      <c r="I78" s="3"/>
    </row>
    <row r="79" spans="3:9" x14ac:dyDescent="0.3">
      <c r="C79" s="31">
        <v>70</v>
      </c>
      <c r="D79" s="19" t="s">
        <v>675</v>
      </c>
      <c r="F79" s="24" t="s">
        <v>12</v>
      </c>
      <c r="G79" s="3"/>
      <c r="H79" s="3"/>
      <c r="I79" s="3"/>
    </row>
    <row r="80" spans="3:9" x14ac:dyDescent="0.3">
      <c r="C80" s="31">
        <v>71</v>
      </c>
      <c r="D80" s="19" t="s">
        <v>676</v>
      </c>
      <c r="F80" s="24" t="s">
        <v>12</v>
      </c>
      <c r="G80" s="3"/>
      <c r="H80" s="3"/>
      <c r="I80" s="3"/>
    </row>
    <row r="81" spans="3:9" x14ac:dyDescent="0.3">
      <c r="C81" s="31">
        <v>72</v>
      </c>
      <c r="D81" s="19" t="s">
        <v>677</v>
      </c>
      <c r="F81" s="24" t="s">
        <v>12</v>
      </c>
      <c r="G81" s="3"/>
      <c r="H81" s="3"/>
      <c r="I81" s="3"/>
    </row>
    <row r="82" spans="3:9" x14ac:dyDescent="0.3">
      <c r="C82" s="31">
        <v>73</v>
      </c>
      <c r="D82" s="19" t="s">
        <v>678</v>
      </c>
      <c r="F82" s="24" t="s">
        <v>12</v>
      </c>
      <c r="G82" s="3"/>
      <c r="H82" s="3"/>
      <c r="I82" s="3"/>
    </row>
    <row r="83" spans="3:9" ht="15.7" customHeight="1" x14ac:dyDescent="0.3"/>
    <row r="84" spans="3:9" ht="15.7" customHeight="1" x14ac:dyDescent="0.3">
      <c r="C84" s="88" t="s">
        <v>14</v>
      </c>
      <c r="D84" s="70"/>
      <c r="F84" s="6" t="s">
        <v>1</v>
      </c>
      <c r="G84" s="6" t="s">
        <v>3</v>
      </c>
      <c r="H84" s="6" t="s">
        <v>5</v>
      </c>
      <c r="I84" s="6" t="s">
        <v>10</v>
      </c>
    </row>
    <row r="85" spans="3:9" ht="15.7" customHeight="1" x14ac:dyDescent="0.3">
      <c r="C85" s="33">
        <v>1</v>
      </c>
      <c r="D85" s="61" t="s">
        <v>684</v>
      </c>
      <c r="F85" s="24" t="s">
        <v>12</v>
      </c>
      <c r="G85" s="3"/>
      <c r="H85" s="3"/>
      <c r="I85" s="3"/>
    </row>
    <row r="86" spans="3:9" ht="15.7" customHeight="1" x14ac:dyDescent="0.3">
      <c r="C86" s="20">
        <v>2</v>
      </c>
      <c r="D86" s="61" t="s">
        <v>685</v>
      </c>
      <c r="F86" s="24" t="s">
        <v>12</v>
      </c>
      <c r="G86" s="3"/>
      <c r="H86" s="3"/>
      <c r="I86" s="3"/>
    </row>
    <row r="87" spans="3:9" ht="15.7" customHeight="1" x14ac:dyDescent="0.3">
      <c r="C87" s="20">
        <v>3</v>
      </c>
      <c r="D87" s="61" t="s">
        <v>686</v>
      </c>
      <c r="F87" s="24" t="s">
        <v>12</v>
      </c>
      <c r="G87" s="3"/>
      <c r="H87" s="3"/>
      <c r="I87" s="3"/>
    </row>
    <row r="88" spans="3:9" ht="15.7" customHeight="1" x14ac:dyDescent="0.3">
      <c r="C88" s="33">
        <v>4</v>
      </c>
      <c r="D88" s="61" t="s">
        <v>687</v>
      </c>
      <c r="F88" s="24" t="s">
        <v>12</v>
      </c>
      <c r="G88" s="3"/>
      <c r="H88" s="3"/>
      <c r="I88" s="3"/>
    </row>
    <row r="89" spans="3:9" ht="15.7" customHeight="1" x14ac:dyDescent="0.3">
      <c r="C89" s="20">
        <v>5</v>
      </c>
      <c r="D89" s="61" t="s">
        <v>688</v>
      </c>
      <c r="F89" s="24" t="s">
        <v>12</v>
      </c>
      <c r="G89" s="3"/>
      <c r="H89" s="3"/>
      <c r="I89" s="3"/>
    </row>
    <row r="90" spans="3:9" ht="15.7" customHeight="1" x14ac:dyDescent="0.3">
      <c r="C90" s="20">
        <v>6</v>
      </c>
      <c r="D90" s="61" t="s">
        <v>689</v>
      </c>
      <c r="F90" s="24" t="s">
        <v>12</v>
      </c>
      <c r="G90" s="3"/>
      <c r="H90" s="3"/>
      <c r="I90" s="3"/>
    </row>
    <row r="91" spans="3:9" ht="15.7" customHeight="1" x14ac:dyDescent="0.3">
      <c r="C91" s="33">
        <v>7</v>
      </c>
      <c r="D91" s="61" t="s">
        <v>690</v>
      </c>
      <c r="F91" s="24" t="s">
        <v>12</v>
      </c>
      <c r="G91" s="3"/>
      <c r="H91" s="3"/>
      <c r="I91" s="3"/>
    </row>
    <row r="92" spans="3:9" ht="15.7" customHeight="1" x14ac:dyDescent="0.3">
      <c r="C92" s="20">
        <v>8</v>
      </c>
      <c r="D92" s="61" t="s">
        <v>691</v>
      </c>
      <c r="F92" s="24" t="s">
        <v>12</v>
      </c>
      <c r="G92" s="3"/>
      <c r="H92" s="3"/>
      <c r="I92" s="3"/>
    </row>
    <row r="93" spans="3:9" ht="15.7" customHeight="1" x14ac:dyDescent="0.3">
      <c r="C93" s="20">
        <v>9</v>
      </c>
      <c r="D93" s="61" t="s">
        <v>692</v>
      </c>
      <c r="F93" s="24" t="s">
        <v>12</v>
      </c>
      <c r="G93" s="3"/>
      <c r="H93" s="3"/>
      <c r="I93" s="3"/>
    </row>
    <row r="94" spans="3:9" ht="15.7" customHeight="1" x14ac:dyDescent="0.3">
      <c r="C94" s="33">
        <v>10</v>
      </c>
      <c r="D94" s="61" t="s">
        <v>693</v>
      </c>
      <c r="F94" s="24" t="s">
        <v>12</v>
      </c>
      <c r="G94" s="3"/>
      <c r="H94" s="3"/>
      <c r="I94" s="3"/>
    </row>
    <row r="95" spans="3:9" ht="15.7" customHeight="1" x14ac:dyDescent="0.3">
      <c r="C95" s="20">
        <v>11</v>
      </c>
      <c r="D95" s="61" t="s">
        <v>694</v>
      </c>
      <c r="F95" s="24" t="s">
        <v>12</v>
      </c>
      <c r="G95" s="3"/>
      <c r="H95" s="3"/>
      <c r="I95" s="3"/>
    </row>
    <row r="96" spans="3:9" ht="15.7" customHeight="1" x14ac:dyDescent="0.3">
      <c r="C96" s="20">
        <v>12</v>
      </c>
      <c r="D96" s="61" t="s">
        <v>695</v>
      </c>
      <c r="F96" s="24" t="s">
        <v>12</v>
      </c>
      <c r="G96" s="3"/>
      <c r="H96" s="3"/>
      <c r="I96" s="3"/>
    </row>
    <row r="97" spans="3:9" ht="15.7" customHeight="1" x14ac:dyDescent="0.3">
      <c r="C97" s="33">
        <v>13</v>
      </c>
      <c r="D97" s="61" t="s">
        <v>696</v>
      </c>
      <c r="F97" s="24" t="s">
        <v>12</v>
      </c>
      <c r="G97" s="3"/>
      <c r="H97" s="3"/>
      <c r="I97" s="3"/>
    </row>
    <row r="98" spans="3:9" ht="15.7" customHeight="1" x14ac:dyDescent="0.3">
      <c r="C98" s="20">
        <v>14</v>
      </c>
      <c r="D98" s="61" t="s">
        <v>697</v>
      </c>
      <c r="F98" s="24" t="s">
        <v>12</v>
      </c>
      <c r="G98" s="3"/>
      <c r="H98" s="3"/>
      <c r="I98" s="3"/>
    </row>
    <row r="99" spans="3:9" ht="15.7" customHeight="1" x14ac:dyDescent="0.3">
      <c r="C99" s="20">
        <v>15</v>
      </c>
      <c r="D99" s="61" t="s">
        <v>698</v>
      </c>
      <c r="F99" s="24" t="s">
        <v>12</v>
      </c>
      <c r="G99" s="3"/>
      <c r="H99" s="3"/>
      <c r="I99" s="3"/>
    </row>
    <row r="100" spans="3:9" ht="15.7" customHeight="1" x14ac:dyDescent="0.3">
      <c r="C100" s="33">
        <v>16</v>
      </c>
      <c r="D100" s="61" t="s">
        <v>699</v>
      </c>
      <c r="F100" s="24" t="s">
        <v>12</v>
      </c>
      <c r="G100" s="3"/>
      <c r="H100" s="3"/>
      <c r="I100" s="3"/>
    </row>
    <row r="101" spans="3:9" ht="15.7" customHeight="1" x14ac:dyDescent="0.3">
      <c r="C101" s="20">
        <v>17</v>
      </c>
      <c r="D101" s="61" t="s">
        <v>700</v>
      </c>
      <c r="F101" s="24" t="s">
        <v>12</v>
      </c>
      <c r="G101" s="3"/>
      <c r="H101" s="3"/>
      <c r="I101" s="3"/>
    </row>
    <row r="102" spans="3:9" ht="15.7" customHeight="1" x14ac:dyDescent="0.3">
      <c r="C102" s="20">
        <v>18</v>
      </c>
      <c r="D102" s="61" t="s">
        <v>701</v>
      </c>
      <c r="F102" s="24" t="s">
        <v>12</v>
      </c>
      <c r="G102" s="3"/>
      <c r="H102" s="3"/>
      <c r="I102" s="3"/>
    </row>
    <row r="103" spans="3:9" ht="15.7" customHeight="1" x14ac:dyDescent="0.3">
      <c r="C103" s="33">
        <v>19</v>
      </c>
      <c r="D103" s="61" t="s">
        <v>702</v>
      </c>
      <c r="F103" s="24" t="s">
        <v>12</v>
      </c>
      <c r="G103" s="3"/>
      <c r="H103" s="3"/>
      <c r="I103" s="3"/>
    </row>
    <row r="104" spans="3:9" ht="15.7" customHeight="1" x14ac:dyDescent="0.3">
      <c r="C104" s="20">
        <v>20</v>
      </c>
      <c r="D104" s="61" t="s">
        <v>703</v>
      </c>
      <c r="F104" s="24" t="s">
        <v>12</v>
      </c>
      <c r="G104" s="3"/>
      <c r="H104" s="3"/>
      <c r="I104" s="3"/>
    </row>
    <row r="105" spans="3:9" ht="15.7" customHeight="1" x14ac:dyDescent="0.3">
      <c r="C105" s="20">
        <v>21</v>
      </c>
      <c r="D105" s="61" t="s">
        <v>704</v>
      </c>
      <c r="F105" s="24" t="s">
        <v>12</v>
      </c>
      <c r="G105" s="3"/>
      <c r="H105" s="3"/>
      <c r="I105" s="3"/>
    </row>
    <row r="106" spans="3:9" ht="15.7" customHeight="1" x14ac:dyDescent="0.3">
      <c r="C106" s="33">
        <v>22</v>
      </c>
      <c r="D106" s="61" t="s">
        <v>705</v>
      </c>
      <c r="F106" s="24" t="s">
        <v>12</v>
      </c>
      <c r="G106" s="3"/>
      <c r="H106" s="3"/>
      <c r="I106" s="3"/>
    </row>
    <row r="107" spans="3:9" ht="15.7" customHeight="1" x14ac:dyDescent="0.3">
      <c r="C107" s="20">
        <v>23</v>
      </c>
      <c r="D107" s="61" t="s">
        <v>706</v>
      </c>
      <c r="F107" s="24" t="s">
        <v>12</v>
      </c>
      <c r="G107" s="3"/>
      <c r="H107" s="3"/>
      <c r="I107" s="3"/>
    </row>
    <row r="108" spans="3:9" ht="15.7" customHeight="1" x14ac:dyDescent="0.3">
      <c r="C108" s="20">
        <v>24</v>
      </c>
      <c r="D108" s="61" t="s">
        <v>707</v>
      </c>
      <c r="F108" s="24" t="s">
        <v>12</v>
      </c>
      <c r="G108" s="3"/>
      <c r="H108" s="3"/>
      <c r="I108" s="3"/>
    </row>
    <row r="109" spans="3:9" ht="15.7" customHeight="1" x14ac:dyDescent="0.3">
      <c r="C109" s="33">
        <v>25</v>
      </c>
      <c r="D109" s="61" t="s">
        <v>708</v>
      </c>
      <c r="F109" s="24" t="s">
        <v>12</v>
      </c>
      <c r="G109" s="3"/>
      <c r="H109" s="3"/>
      <c r="I109" s="3"/>
    </row>
    <row r="110" spans="3:9" ht="15.7" customHeight="1" x14ac:dyDescent="0.3">
      <c r="C110" s="20">
        <v>26</v>
      </c>
      <c r="D110" s="61" t="s">
        <v>709</v>
      </c>
      <c r="F110" s="24" t="s">
        <v>12</v>
      </c>
      <c r="G110" s="3"/>
      <c r="H110" s="3"/>
      <c r="I110" s="3"/>
    </row>
    <row r="111" spans="3:9" ht="15.7" customHeight="1" x14ac:dyDescent="0.3">
      <c r="C111" s="20">
        <v>27</v>
      </c>
      <c r="D111" s="61" t="s">
        <v>710</v>
      </c>
      <c r="F111" s="24" t="s">
        <v>12</v>
      </c>
      <c r="G111" s="3"/>
      <c r="H111" s="3"/>
      <c r="I111" s="3"/>
    </row>
    <row r="112" spans="3:9" ht="15.7" customHeight="1" x14ac:dyDescent="0.3">
      <c r="C112" s="33">
        <v>28</v>
      </c>
      <c r="D112" s="61" t="s">
        <v>711</v>
      </c>
      <c r="F112" s="24" t="s">
        <v>12</v>
      </c>
      <c r="G112" s="3"/>
      <c r="H112" s="3"/>
      <c r="I112" s="3"/>
    </row>
    <row r="113" spans="3:9" ht="15.7" customHeight="1" x14ac:dyDescent="0.3">
      <c r="C113" s="20">
        <v>29</v>
      </c>
      <c r="D113" s="61" t="s">
        <v>712</v>
      </c>
      <c r="F113" s="24" t="s">
        <v>12</v>
      </c>
      <c r="G113" s="3"/>
      <c r="H113" s="3"/>
      <c r="I113" s="3"/>
    </row>
    <row r="114" spans="3:9" ht="15.7" customHeight="1" x14ac:dyDescent="0.3">
      <c r="C114" s="20">
        <v>30</v>
      </c>
      <c r="D114" s="61" t="s">
        <v>713</v>
      </c>
      <c r="F114" s="24" t="s">
        <v>12</v>
      </c>
      <c r="G114" s="3"/>
      <c r="H114" s="3"/>
      <c r="I114" s="3"/>
    </row>
    <row r="115" spans="3:9" ht="15.7" customHeight="1" x14ac:dyDescent="0.3">
      <c r="C115" s="33">
        <v>31</v>
      </c>
      <c r="D115" s="61" t="s">
        <v>714</v>
      </c>
      <c r="F115" s="24" t="s">
        <v>12</v>
      </c>
      <c r="G115" s="3"/>
      <c r="H115" s="3"/>
      <c r="I115" s="3"/>
    </row>
    <row r="116" spans="3:9" ht="15.7" customHeight="1" x14ac:dyDescent="0.3">
      <c r="C116" s="20">
        <v>32</v>
      </c>
      <c r="D116" s="61" t="s">
        <v>715</v>
      </c>
      <c r="F116" s="24" t="s">
        <v>12</v>
      </c>
      <c r="G116" s="3"/>
      <c r="H116" s="3"/>
      <c r="I116" s="3"/>
    </row>
    <row r="117" spans="3:9" ht="15.7" customHeight="1" x14ac:dyDescent="0.3">
      <c r="C117" s="20">
        <v>33</v>
      </c>
      <c r="D117" s="61" t="s">
        <v>716</v>
      </c>
      <c r="F117" s="24" t="s">
        <v>12</v>
      </c>
      <c r="G117" s="3"/>
      <c r="H117" s="3"/>
      <c r="I117" s="3"/>
    </row>
    <row r="118" spans="3:9" ht="15.7" customHeight="1" x14ac:dyDescent="0.3">
      <c r="C118" s="33">
        <v>34</v>
      </c>
      <c r="D118" s="61" t="s">
        <v>717</v>
      </c>
      <c r="F118" s="24" t="s">
        <v>12</v>
      </c>
      <c r="G118" s="3"/>
      <c r="H118" s="3"/>
      <c r="I118" s="3"/>
    </row>
    <row r="119" spans="3:9" ht="15.7" customHeight="1" x14ac:dyDescent="0.3">
      <c r="C119" s="20">
        <v>35</v>
      </c>
      <c r="D119" s="61" t="s">
        <v>718</v>
      </c>
      <c r="F119" s="24" t="s">
        <v>12</v>
      </c>
      <c r="G119" s="3"/>
      <c r="H119" s="3"/>
      <c r="I119" s="3"/>
    </row>
    <row r="120" spans="3:9" ht="15.7" customHeight="1" x14ac:dyDescent="0.3">
      <c r="C120" s="20">
        <v>36</v>
      </c>
      <c r="D120" s="61" t="s">
        <v>719</v>
      </c>
      <c r="F120" s="24" t="s">
        <v>12</v>
      </c>
      <c r="G120" s="3"/>
      <c r="H120" s="3"/>
      <c r="I120" s="3"/>
    </row>
    <row r="121" spans="3:9" ht="15.7" customHeight="1" x14ac:dyDescent="0.3">
      <c r="C121" s="33">
        <v>37</v>
      </c>
      <c r="D121" s="61" t="s">
        <v>720</v>
      </c>
      <c r="F121" s="24" t="s">
        <v>12</v>
      </c>
      <c r="G121" s="3"/>
      <c r="H121" s="3"/>
      <c r="I121" s="3"/>
    </row>
    <row r="122" spans="3:9" ht="15.7" customHeight="1" x14ac:dyDescent="0.3">
      <c r="C122" s="20">
        <v>38</v>
      </c>
      <c r="D122" s="61" t="s">
        <v>393</v>
      </c>
      <c r="F122" s="24" t="s">
        <v>12</v>
      </c>
      <c r="G122" s="3"/>
      <c r="H122" s="3"/>
      <c r="I122" s="3"/>
    </row>
    <row r="123" spans="3:9" ht="15.7" customHeight="1" x14ac:dyDescent="0.3">
      <c r="C123" s="20">
        <v>39</v>
      </c>
      <c r="D123" s="61" t="s">
        <v>721</v>
      </c>
      <c r="F123" s="24" t="s">
        <v>12</v>
      </c>
      <c r="G123" s="3"/>
      <c r="H123" s="3"/>
      <c r="I123" s="3"/>
    </row>
    <row r="124" spans="3:9" ht="15.7" customHeight="1" x14ac:dyDescent="0.3">
      <c r="C124" s="20">
        <v>40</v>
      </c>
      <c r="D124" s="61" t="s">
        <v>722</v>
      </c>
      <c r="F124" s="24" t="s">
        <v>12</v>
      </c>
      <c r="G124" s="3"/>
      <c r="H124" s="3"/>
      <c r="I124" s="3"/>
    </row>
    <row r="125" spans="3:9" ht="15.7" customHeight="1" x14ac:dyDescent="0.3">
      <c r="C125" s="33">
        <v>41</v>
      </c>
      <c r="D125" s="61" t="s">
        <v>723</v>
      </c>
      <c r="F125" s="24" t="s">
        <v>12</v>
      </c>
      <c r="G125" s="3"/>
      <c r="H125" s="3"/>
      <c r="I125" s="3"/>
    </row>
    <row r="126" spans="3:9" ht="15.7" customHeight="1" x14ac:dyDescent="0.3">
      <c r="C126" s="20">
        <v>42</v>
      </c>
      <c r="D126" s="61" t="s">
        <v>724</v>
      </c>
      <c r="F126" s="24" t="s">
        <v>12</v>
      </c>
      <c r="G126" s="3"/>
      <c r="H126" s="3"/>
      <c r="I126" s="3"/>
    </row>
    <row r="127" spans="3:9" ht="15.7" customHeight="1" x14ac:dyDescent="0.3">
      <c r="C127" s="20">
        <v>43</v>
      </c>
      <c r="D127" s="61" t="s">
        <v>725</v>
      </c>
      <c r="F127" s="24" t="s">
        <v>12</v>
      </c>
      <c r="G127" s="3"/>
      <c r="H127" s="3"/>
      <c r="I127" s="3"/>
    </row>
    <row r="128" spans="3:9" ht="15.7" customHeight="1" x14ac:dyDescent="0.3">
      <c r="C128" s="20">
        <v>44</v>
      </c>
      <c r="D128" s="61" t="s">
        <v>726</v>
      </c>
      <c r="F128" s="24" t="s">
        <v>12</v>
      </c>
      <c r="G128" s="3"/>
      <c r="H128" s="3"/>
      <c r="I128" s="3"/>
    </row>
    <row r="129" spans="3:9" ht="15.7" customHeight="1" x14ac:dyDescent="0.3">
      <c r="C129" s="33">
        <v>45</v>
      </c>
      <c r="D129" s="61" t="s">
        <v>727</v>
      </c>
      <c r="F129" s="24" t="s">
        <v>12</v>
      </c>
      <c r="G129" s="3"/>
      <c r="H129" s="3"/>
      <c r="I129" s="3"/>
    </row>
    <row r="130" spans="3:9" ht="15.7" customHeight="1" x14ac:dyDescent="0.3">
      <c r="C130" s="20">
        <v>46</v>
      </c>
      <c r="D130" s="61" t="s">
        <v>728</v>
      </c>
      <c r="F130" s="24" t="s">
        <v>12</v>
      </c>
      <c r="G130" s="3"/>
      <c r="H130" s="3"/>
      <c r="I130" s="3"/>
    </row>
    <row r="131" spans="3:9" ht="15.7" customHeight="1" x14ac:dyDescent="0.3">
      <c r="C131" s="20">
        <v>47</v>
      </c>
      <c r="D131" s="61" t="s">
        <v>729</v>
      </c>
      <c r="F131" s="24" t="s">
        <v>12</v>
      </c>
      <c r="G131" s="3"/>
      <c r="H131" s="3"/>
      <c r="I131" s="3"/>
    </row>
    <row r="132" spans="3:9" ht="15.7" customHeight="1" x14ac:dyDescent="0.3">
      <c r="C132" s="20">
        <v>48</v>
      </c>
      <c r="D132" s="61" t="s">
        <v>730</v>
      </c>
      <c r="F132" s="24" t="s">
        <v>12</v>
      </c>
      <c r="G132" s="3"/>
      <c r="H132" s="3"/>
      <c r="I132" s="3"/>
    </row>
    <row r="133" spans="3:9" ht="15.7" customHeight="1" x14ac:dyDescent="0.3">
      <c r="C133" s="33">
        <v>49</v>
      </c>
      <c r="D133" s="61" t="s">
        <v>731</v>
      </c>
      <c r="F133" s="24" t="s">
        <v>12</v>
      </c>
      <c r="G133" s="3"/>
      <c r="H133" s="3"/>
      <c r="I133" s="3"/>
    </row>
    <row r="134" spans="3:9" ht="15.7" customHeight="1" x14ac:dyDescent="0.3">
      <c r="C134" s="20">
        <v>50</v>
      </c>
      <c r="D134" s="61" t="s">
        <v>732</v>
      </c>
      <c r="F134" s="24" t="s">
        <v>12</v>
      </c>
      <c r="G134" s="3"/>
      <c r="H134" s="3"/>
      <c r="I134" s="3"/>
    </row>
    <row r="135" spans="3:9" ht="15.7" customHeight="1" x14ac:dyDescent="0.3">
      <c r="C135" s="20">
        <v>51</v>
      </c>
      <c r="D135" s="61" t="s">
        <v>733</v>
      </c>
      <c r="F135" s="24" t="s">
        <v>12</v>
      </c>
      <c r="G135" s="3"/>
      <c r="H135" s="3"/>
      <c r="I135" s="3"/>
    </row>
    <row r="136" spans="3:9" ht="15.7" customHeight="1" x14ac:dyDescent="0.3">
      <c r="C136" s="20">
        <v>52</v>
      </c>
      <c r="D136" s="61" t="s">
        <v>734</v>
      </c>
      <c r="F136" s="24" t="s">
        <v>12</v>
      </c>
      <c r="G136" s="3"/>
      <c r="H136" s="3"/>
      <c r="I136" s="3"/>
    </row>
    <row r="137" spans="3:9" ht="15.7" customHeight="1" x14ac:dyDescent="0.3"/>
    <row r="138" spans="3:9" ht="15.7" customHeight="1" x14ac:dyDescent="0.3"/>
    <row r="139" spans="3:9" ht="15.7" customHeight="1" x14ac:dyDescent="0.3"/>
    <row r="140" spans="3:9" ht="15.7" customHeight="1" x14ac:dyDescent="0.3"/>
    <row r="141" spans="3:9" ht="15.7" customHeight="1" x14ac:dyDescent="0.3"/>
    <row r="142" spans="3:9" ht="15.7" customHeight="1" x14ac:dyDescent="0.3"/>
    <row r="143" spans="3:9" ht="15.7" customHeight="1" x14ac:dyDescent="0.3"/>
    <row r="144" spans="3:9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  <row r="1066" ht="15.7" customHeight="1" x14ac:dyDescent="0.3"/>
    <row r="1067" ht="15.7" customHeight="1" x14ac:dyDescent="0.3"/>
    <row r="1068" ht="15.7" customHeight="1" x14ac:dyDescent="0.3"/>
    <row r="1069" ht="15.7" customHeight="1" x14ac:dyDescent="0.3"/>
    <row r="1070" ht="15.7" customHeight="1" x14ac:dyDescent="0.3"/>
  </sheetData>
  <mergeCells count="4">
    <mergeCell ref="B2:I2"/>
    <mergeCell ref="F8:H8"/>
    <mergeCell ref="C9:D9"/>
    <mergeCell ref="C84:D8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6337778862885"/>
  </sheetPr>
  <dimension ref="B1:I1073"/>
  <sheetViews>
    <sheetView topLeftCell="A66" workbookViewId="0"/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t="str">
        <f>HYPERLINK("#'Paginación'!A1","Volver")</f>
        <v>Volver</v>
      </c>
    </row>
    <row r="2" spans="2:9" ht="17.850000000000001" x14ac:dyDescent="0.35">
      <c r="B2" s="68" t="s">
        <v>735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43" t="s">
        <v>736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43" t="s">
        <v>737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43" t="s">
        <v>738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43" t="s">
        <v>739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43" t="s">
        <v>740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43" t="s">
        <v>741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43" t="s">
        <v>742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43" t="s">
        <v>75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43" t="s">
        <v>743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43" t="s">
        <v>77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43" t="s">
        <v>744</v>
      </c>
      <c r="F20" s="24" t="s">
        <v>12</v>
      </c>
      <c r="G20" s="3"/>
      <c r="H20" s="3"/>
      <c r="I20" s="3"/>
    </row>
    <row r="21" spans="3:9" x14ac:dyDescent="0.3">
      <c r="C21" s="20">
        <v>12</v>
      </c>
      <c r="D21" s="43" t="s">
        <v>745</v>
      </c>
      <c r="F21" s="24" t="s">
        <v>12</v>
      </c>
      <c r="G21" s="3"/>
      <c r="H21" s="3"/>
      <c r="I21" s="3"/>
    </row>
    <row r="22" spans="3:9" x14ac:dyDescent="0.3">
      <c r="C22" s="20">
        <v>13</v>
      </c>
      <c r="D22" s="43" t="s">
        <v>746</v>
      </c>
      <c r="F22" s="24" t="s">
        <v>12</v>
      </c>
      <c r="G22" s="3"/>
      <c r="H22" s="3"/>
      <c r="I22" s="3"/>
    </row>
    <row r="23" spans="3:9" x14ac:dyDescent="0.3">
      <c r="C23" s="20">
        <v>14</v>
      </c>
      <c r="D23" s="43" t="s">
        <v>747</v>
      </c>
      <c r="F23" s="24" t="s">
        <v>12</v>
      </c>
      <c r="G23" s="3"/>
      <c r="H23" s="3"/>
      <c r="I23" s="3"/>
    </row>
    <row r="24" spans="3:9" x14ac:dyDescent="0.3">
      <c r="C24" s="20">
        <v>15</v>
      </c>
      <c r="D24" s="43" t="s">
        <v>748</v>
      </c>
      <c r="F24" s="24" t="s">
        <v>12</v>
      </c>
      <c r="G24" s="3"/>
      <c r="H24" s="3"/>
      <c r="I24" s="3"/>
    </row>
    <row r="25" spans="3:9" x14ac:dyDescent="0.3">
      <c r="C25" s="20">
        <v>16</v>
      </c>
      <c r="D25" s="43" t="s">
        <v>749</v>
      </c>
      <c r="F25" s="24" t="s">
        <v>12</v>
      </c>
      <c r="G25" s="3"/>
      <c r="H25" s="3"/>
      <c r="I25" s="3"/>
    </row>
    <row r="26" spans="3:9" x14ac:dyDescent="0.3">
      <c r="C26" s="20">
        <v>17</v>
      </c>
      <c r="D26" s="43" t="s">
        <v>750</v>
      </c>
      <c r="F26" s="24" t="s">
        <v>12</v>
      </c>
      <c r="G26" s="3"/>
      <c r="H26" s="3"/>
      <c r="I26" s="3"/>
    </row>
    <row r="27" spans="3:9" x14ac:dyDescent="0.3">
      <c r="C27" s="20">
        <v>18</v>
      </c>
      <c r="D27" s="43" t="s">
        <v>751</v>
      </c>
      <c r="F27" s="24" t="s">
        <v>12</v>
      </c>
      <c r="G27" s="3"/>
      <c r="H27" s="3"/>
      <c r="I27" s="3"/>
    </row>
    <row r="28" spans="3:9" x14ac:dyDescent="0.3">
      <c r="C28" s="20">
        <v>19</v>
      </c>
      <c r="D28" s="43" t="s">
        <v>752</v>
      </c>
      <c r="F28" s="24" t="s">
        <v>12</v>
      </c>
      <c r="G28" s="3"/>
      <c r="H28" s="3"/>
      <c r="I28" s="3"/>
    </row>
    <row r="29" spans="3:9" x14ac:dyDescent="0.3">
      <c r="C29" s="20">
        <v>20</v>
      </c>
      <c r="D29" s="43" t="s">
        <v>753</v>
      </c>
      <c r="F29" s="24" t="s">
        <v>12</v>
      </c>
      <c r="G29" s="3"/>
      <c r="H29" s="3"/>
      <c r="I29" s="3"/>
    </row>
    <row r="30" spans="3:9" x14ac:dyDescent="0.3">
      <c r="C30" s="20">
        <v>21</v>
      </c>
      <c r="D30" s="43" t="s">
        <v>754</v>
      </c>
      <c r="F30" s="24" t="s">
        <v>12</v>
      </c>
      <c r="G30" s="3"/>
      <c r="H30" s="3"/>
      <c r="I30" s="3"/>
    </row>
    <row r="31" spans="3:9" x14ac:dyDescent="0.3">
      <c r="C31" s="20">
        <v>22</v>
      </c>
      <c r="D31" s="43" t="s">
        <v>755</v>
      </c>
      <c r="F31" s="24" t="s">
        <v>12</v>
      </c>
      <c r="G31" s="3"/>
      <c r="H31" s="3"/>
      <c r="I31" s="3"/>
    </row>
    <row r="32" spans="3:9" x14ac:dyDescent="0.3">
      <c r="C32" s="20">
        <v>23</v>
      </c>
      <c r="D32" s="43" t="s">
        <v>756</v>
      </c>
      <c r="F32" s="24" t="s">
        <v>12</v>
      </c>
      <c r="G32" s="3"/>
      <c r="H32" s="3"/>
      <c r="I32" s="3"/>
    </row>
    <row r="33" spans="3:9" x14ac:dyDescent="0.3">
      <c r="C33" s="20">
        <v>24</v>
      </c>
      <c r="D33" s="43" t="s">
        <v>757</v>
      </c>
      <c r="F33" s="24" t="s">
        <v>12</v>
      </c>
      <c r="G33" s="3"/>
      <c r="H33" s="3"/>
      <c r="I33" s="3"/>
    </row>
    <row r="34" spans="3:9" x14ac:dyDescent="0.3">
      <c r="C34" s="20">
        <v>25</v>
      </c>
      <c r="D34" s="43" t="s">
        <v>758</v>
      </c>
      <c r="F34" s="24" t="s">
        <v>12</v>
      </c>
      <c r="G34" s="3"/>
      <c r="H34" s="3"/>
      <c r="I34" s="3"/>
    </row>
    <row r="35" spans="3:9" x14ac:dyDescent="0.3">
      <c r="C35" s="20">
        <v>26</v>
      </c>
      <c r="D35" s="43" t="s">
        <v>759</v>
      </c>
      <c r="F35" s="24" t="s">
        <v>12</v>
      </c>
      <c r="G35" s="3"/>
      <c r="H35" s="3"/>
      <c r="I35" s="3"/>
    </row>
    <row r="36" spans="3:9" x14ac:dyDescent="0.3">
      <c r="C36" s="20">
        <v>27</v>
      </c>
      <c r="D36" s="43" t="s">
        <v>760</v>
      </c>
      <c r="F36" s="24" t="s">
        <v>12</v>
      </c>
      <c r="G36" s="3"/>
      <c r="H36" s="3"/>
      <c r="I36" s="3"/>
    </row>
    <row r="37" spans="3:9" x14ac:dyDescent="0.3">
      <c r="C37" s="20">
        <v>28</v>
      </c>
      <c r="D37" s="43" t="s">
        <v>761</v>
      </c>
      <c r="F37" s="24" t="s">
        <v>12</v>
      </c>
      <c r="G37" s="3"/>
      <c r="H37" s="3"/>
      <c r="I37" s="3"/>
    </row>
    <row r="38" spans="3:9" x14ac:dyDescent="0.3">
      <c r="C38" s="20">
        <v>29</v>
      </c>
      <c r="D38" s="43" t="s">
        <v>762</v>
      </c>
      <c r="F38" s="24" t="s">
        <v>12</v>
      </c>
      <c r="G38" s="3"/>
      <c r="H38" s="3"/>
      <c r="I38" s="3"/>
    </row>
    <row r="39" spans="3:9" x14ac:dyDescent="0.3">
      <c r="C39" s="20">
        <v>30</v>
      </c>
      <c r="D39" s="43" t="s">
        <v>763</v>
      </c>
      <c r="F39" s="24" t="s">
        <v>12</v>
      </c>
      <c r="G39" s="3"/>
      <c r="H39" s="3"/>
      <c r="I39" s="3"/>
    </row>
    <row r="40" spans="3:9" x14ac:dyDescent="0.3">
      <c r="C40" s="20">
        <v>31</v>
      </c>
      <c r="D40" s="43" t="s">
        <v>764</v>
      </c>
      <c r="F40" s="24" t="s">
        <v>12</v>
      </c>
      <c r="G40" s="3"/>
      <c r="H40" s="3"/>
      <c r="I40" s="3"/>
    </row>
    <row r="41" spans="3:9" x14ac:dyDescent="0.3">
      <c r="C41" s="20">
        <v>32</v>
      </c>
      <c r="D41" s="43" t="s">
        <v>765</v>
      </c>
      <c r="F41" s="24" t="s">
        <v>12</v>
      </c>
      <c r="G41" s="3"/>
      <c r="H41" s="3"/>
      <c r="I41" s="3"/>
    </row>
    <row r="42" spans="3:9" x14ac:dyDescent="0.3">
      <c r="C42" s="20">
        <v>33</v>
      </c>
      <c r="D42" s="43" t="s">
        <v>766</v>
      </c>
      <c r="F42" s="24" t="s">
        <v>12</v>
      </c>
      <c r="G42" s="3"/>
      <c r="H42" s="3"/>
      <c r="I42" s="3"/>
    </row>
    <row r="43" spans="3:9" x14ac:dyDescent="0.3">
      <c r="C43" s="20">
        <v>34</v>
      </c>
      <c r="D43" s="43" t="s">
        <v>767</v>
      </c>
      <c r="F43" s="24" t="s">
        <v>12</v>
      </c>
      <c r="G43" s="3"/>
      <c r="H43" s="3"/>
      <c r="I43" s="3"/>
    </row>
    <row r="44" spans="3:9" x14ac:dyDescent="0.3">
      <c r="C44" s="20">
        <v>35</v>
      </c>
      <c r="D44" s="43" t="s">
        <v>768</v>
      </c>
      <c r="F44" s="24" t="s">
        <v>12</v>
      </c>
      <c r="G44" s="3"/>
      <c r="H44" s="3"/>
      <c r="I44" s="3"/>
    </row>
    <row r="45" spans="3:9" x14ac:dyDescent="0.3">
      <c r="C45" s="20">
        <v>36</v>
      </c>
      <c r="D45" s="43" t="s">
        <v>769</v>
      </c>
      <c r="F45" s="24" t="s">
        <v>12</v>
      </c>
      <c r="G45" s="3"/>
      <c r="H45" s="3"/>
      <c r="I45" s="3"/>
    </row>
    <row r="46" spans="3:9" x14ac:dyDescent="0.3">
      <c r="C46" s="20">
        <v>37</v>
      </c>
      <c r="D46" s="43" t="s">
        <v>770</v>
      </c>
      <c r="F46" s="24" t="s">
        <v>12</v>
      </c>
      <c r="G46" s="3"/>
      <c r="H46" s="3"/>
      <c r="I46" s="3"/>
    </row>
    <row r="47" spans="3:9" x14ac:dyDescent="0.3">
      <c r="C47" s="20">
        <v>38</v>
      </c>
      <c r="D47" s="43" t="s">
        <v>771</v>
      </c>
      <c r="F47" s="24" t="s">
        <v>12</v>
      </c>
      <c r="G47" s="3"/>
      <c r="H47" s="3"/>
      <c r="I47" s="3"/>
    </row>
    <row r="48" spans="3:9" x14ac:dyDescent="0.3">
      <c r="C48" s="20">
        <v>39</v>
      </c>
      <c r="D48" s="43" t="s">
        <v>772</v>
      </c>
      <c r="F48" s="24" t="s">
        <v>12</v>
      </c>
      <c r="G48" s="3"/>
      <c r="H48" s="3"/>
      <c r="I48" s="3"/>
    </row>
    <row r="49" spans="3:9" x14ac:dyDescent="0.3">
      <c r="C49" s="20">
        <v>40</v>
      </c>
      <c r="D49" s="43" t="s">
        <v>773</v>
      </c>
      <c r="F49" s="24" t="s">
        <v>12</v>
      </c>
      <c r="G49" s="3"/>
      <c r="H49" s="3"/>
      <c r="I49" s="3"/>
    </row>
    <row r="50" spans="3:9" x14ac:dyDescent="0.3">
      <c r="C50" s="20">
        <v>41</v>
      </c>
      <c r="D50" s="43" t="s">
        <v>774</v>
      </c>
      <c r="F50" s="24" t="s">
        <v>12</v>
      </c>
      <c r="G50" s="3"/>
      <c r="H50" s="3"/>
      <c r="I50" s="3"/>
    </row>
    <row r="51" spans="3:9" x14ac:dyDescent="0.3">
      <c r="C51" s="20">
        <v>42</v>
      </c>
      <c r="D51" s="43" t="s">
        <v>775</v>
      </c>
      <c r="F51" s="24" t="s">
        <v>12</v>
      </c>
      <c r="G51" s="3"/>
      <c r="H51" s="3"/>
      <c r="I51" s="3"/>
    </row>
    <row r="52" spans="3:9" x14ac:dyDescent="0.3">
      <c r="C52" s="20">
        <v>43</v>
      </c>
      <c r="D52" s="43" t="s">
        <v>776</v>
      </c>
      <c r="F52" s="24" t="s">
        <v>12</v>
      </c>
      <c r="G52" s="3"/>
      <c r="H52" s="3"/>
      <c r="I52" s="3"/>
    </row>
    <row r="53" spans="3:9" x14ac:dyDescent="0.3">
      <c r="C53" s="20">
        <v>44</v>
      </c>
      <c r="D53" s="43" t="s">
        <v>777</v>
      </c>
      <c r="F53" s="24" t="s">
        <v>12</v>
      </c>
      <c r="G53" s="3"/>
      <c r="H53" s="3"/>
      <c r="I53" s="3"/>
    </row>
    <row r="54" spans="3:9" x14ac:dyDescent="0.3">
      <c r="C54" s="20">
        <v>45</v>
      </c>
      <c r="D54" s="43" t="s">
        <v>778</v>
      </c>
      <c r="F54" s="24" t="s">
        <v>12</v>
      </c>
      <c r="G54" s="3"/>
      <c r="H54" s="3"/>
      <c r="I54" s="3"/>
    </row>
    <row r="55" spans="3:9" x14ac:dyDescent="0.3">
      <c r="C55" s="20">
        <v>46</v>
      </c>
      <c r="D55" s="43" t="s">
        <v>779</v>
      </c>
      <c r="F55" s="24" t="s">
        <v>12</v>
      </c>
      <c r="G55" s="3"/>
      <c r="H55" s="3"/>
      <c r="I55" s="3"/>
    </row>
    <row r="56" spans="3:9" x14ac:dyDescent="0.3">
      <c r="C56" s="20">
        <v>47</v>
      </c>
      <c r="D56" s="43" t="s">
        <v>780</v>
      </c>
      <c r="F56" s="24" t="s">
        <v>12</v>
      </c>
      <c r="G56" s="3"/>
      <c r="H56" s="3"/>
      <c r="I56" s="3"/>
    </row>
    <row r="57" spans="3:9" x14ac:dyDescent="0.3">
      <c r="C57" s="20">
        <v>48</v>
      </c>
      <c r="D57" s="43" t="s">
        <v>781</v>
      </c>
      <c r="F57" s="24" t="s">
        <v>12</v>
      </c>
      <c r="G57" s="3"/>
      <c r="H57" s="3"/>
      <c r="I57" s="3"/>
    </row>
    <row r="58" spans="3:9" x14ac:dyDescent="0.3">
      <c r="C58" s="20">
        <v>49</v>
      </c>
      <c r="D58" s="43" t="s">
        <v>782</v>
      </c>
      <c r="F58" s="24" t="s">
        <v>12</v>
      </c>
      <c r="G58" s="3"/>
      <c r="H58" s="3"/>
      <c r="I58" s="3"/>
    </row>
    <row r="59" spans="3:9" x14ac:dyDescent="0.3">
      <c r="C59" s="20">
        <v>50</v>
      </c>
      <c r="D59" s="43" t="s">
        <v>783</v>
      </c>
      <c r="F59" s="24" t="s">
        <v>12</v>
      </c>
      <c r="G59" s="3"/>
      <c r="H59" s="3"/>
      <c r="I59" s="3"/>
    </row>
    <row r="60" spans="3:9" x14ac:dyDescent="0.3">
      <c r="C60" s="20">
        <v>51</v>
      </c>
      <c r="D60" s="43" t="s">
        <v>784</v>
      </c>
      <c r="F60" s="24" t="s">
        <v>12</v>
      </c>
      <c r="G60" s="3"/>
      <c r="H60" s="3"/>
      <c r="I60" s="3"/>
    </row>
    <row r="61" spans="3:9" x14ac:dyDescent="0.3">
      <c r="C61" s="20">
        <v>52</v>
      </c>
      <c r="D61" s="43" t="s">
        <v>785</v>
      </c>
      <c r="F61" s="24" t="s">
        <v>12</v>
      </c>
      <c r="G61" s="3"/>
      <c r="H61" s="3"/>
      <c r="I61" s="3"/>
    </row>
    <row r="62" spans="3:9" x14ac:dyDescent="0.3">
      <c r="C62" s="20">
        <v>53</v>
      </c>
      <c r="D62" s="43" t="s">
        <v>786</v>
      </c>
      <c r="F62" s="24" t="s">
        <v>12</v>
      </c>
      <c r="G62" s="3"/>
      <c r="H62" s="3"/>
      <c r="I62" s="3"/>
    </row>
    <row r="63" spans="3:9" x14ac:dyDescent="0.3">
      <c r="C63" s="20">
        <v>54</v>
      </c>
      <c r="D63" s="43" t="s">
        <v>787</v>
      </c>
      <c r="F63" s="24" t="s">
        <v>12</v>
      </c>
      <c r="G63" s="3"/>
      <c r="H63" s="3"/>
      <c r="I63" s="3"/>
    </row>
    <row r="64" spans="3:9" x14ac:dyDescent="0.3">
      <c r="C64" s="20">
        <v>55</v>
      </c>
      <c r="D64" s="43" t="s">
        <v>788</v>
      </c>
      <c r="F64" s="24" t="s">
        <v>12</v>
      </c>
      <c r="G64" s="3"/>
      <c r="H64" s="3"/>
      <c r="I64" s="3"/>
    </row>
    <row r="65" spans="3:9" x14ac:dyDescent="0.3">
      <c r="C65" s="20">
        <v>56</v>
      </c>
      <c r="D65" s="43" t="s">
        <v>789</v>
      </c>
      <c r="F65" s="24" t="s">
        <v>12</v>
      </c>
      <c r="G65" s="3"/>
      <c r="H65" s="3"/>
      <c r="I65" s="3"/>
    </row>
    <row r="66" spans="3:9" x14ac:dyDescent="0.3">
      <c r="C66" s="20">
        <v>57</v>
      </c>
      <c r="D66" s="43" t="s">
        <v>790</v>
      </c>
      <c r="F66" s="24" t="s">
        <v>12</v>
      </c>
      <c r="G66" s="3"/>
      <c r="H66" s="3"/>
      <c r="I66" s="3"/>
    </row>
    <row r="67" spans="3:9" x14ac:dyDescent="0.3">
      <c r="C67" s="20">
        <v>58</v>
      </c>
      <c r="D67" s="43" t="s">
        <v>791</v>
      </c>
      <c r="F67" s="24" t="s">
        <v>12</v>
      </c>
      <c r="G67" s="3"/>
      <c r="H67" s="3"/>
      <c r="I67" s="3"/>
    </row>
    <row r="68" spans="3:9" x14ac:dyDescent="0.3">
      <c r="C68" s="20">
        <v>59</v>
      </c>
      <c r="D68" s="43" t="s">
        <v>792</v>
      </c>
      <c r="F68" s="24" t="s">
        <v>12</v>
      </c>
      <c r="G68" s="3"/>
      <c r="H68" s="3"/>
      <c r="I68" s="3"/>
    </row>
    <row r="69" spans="3:9" x14ac:dyDescent="0.3">
      <c r="C69" s="20">
        <v>60</v>
      </c>
      <c r="D69" s="43" t="s">
        <v>793</v>
      </c>
      <c r="F69" s="24" t="s">
        <v>12</v>
      </c>
      <c r="G69" s="3"/>
      <c r="H69" s="3"/>
      <c r="I69" s="3"/>
    </row>
    <row r="70" spans="3:9" x14ac:dyDescent="0.3">
      <c r="C70" s="20">
        <v>61</v>
      </c>
      <c r="D70" s="43" t="s">
        <v>794</v>
      </c>
      <c r="F70" s="24" t="s">
        <v>12</v>
      </c>
      <c r="G70" s="3"/>
      <c r="H70" s="3"/>
      <c r="I70" s="3"/>
    </row>
    <row r="71" spans="3:9" x14ac:dyDescent="0.3">
      <c r="C71" s="20">
        <v>62</v>
      </c>
      <c r="D71" s="43" t="s">
        <v>795</v>
      </c>
      <c r="F71" s="24" t="s">
        <v>12</v>
      </c>
      <c r="G71" s="3"/>
      <c r="H71" s="3"/>
      <c r="I71" s="3"/>
    </row>
    <row r="72" spans="3:9" x14ac:dyDescent="0.3">
      <c r="C72" s="20">
        <v>63</v>
      </c>
      <c r="D72" s="43" t="s">
        <v>796</v>
      </c>
      <c r="F72" s="24" t="s">
        <v>12</v>
      </c>
      <c r="G72" s="3"/>
      <c r="H72" s="3"/>
      <c r="I72" s="3"/>
    </row>
    <row r="73" spans="3:9" x14ac:dyDescent="0.3">
      <c r="C73" s="20">
        <v>64</v>
      </c>
      <c r="D73" s="43" t="s">
        <v>797</v>
      </c>
      <c r="F73" s="24" t="s">
        <v>12</v>
      </c>
      <c r="G73" s="3"/>
      <c r="H73" s="3"/>
      <c r="I73" s="3"/>
    </row>
    <row r="74" spans="3:9" x14ac:dyDescent="0.3">
      <c r="C74" s="20">
        <v>65</v>
      </c>
      <c r="D74" s="43" t="s">
        <v>798</v>
      </c>
      <c r="F74" s="24" t="s">
        <v>12</v>
      </c>
      <c r="G74" s="3"/>
      <c r="H74" s="3"/>
      <c r="I74" s="3"/>
    </row>
    <row r="75" spans="3:9" x14ac:dyDescent="0.3">
      <c r="C75" s="20">
        <v>66</v>
      </c>
      <c r="D75" s="43" t="s">
        <v>799</v>
      </c>
      <c r="F75" s="24" t="s">
        <v>12</v>
      </c>
      <c r="G75" s="3"/>
      <c r="H75" s="3"/>
      <c r="I75" s="3"/>
    </row>
    <row r="76" spans="3:9" x14ac:dyDescent="0.3">
      <c r="C76" s="20">
        <v>67</v>
      </c>
      <c r="D76" s="43" t="s">
        <v>800</v>
      </c>
      <c r="F76" s="24" t="s">
        <v>12</v>
      </c>
      <c r="G76" s="3"/>
      <c r="H76" s="3"/>
      <c r="I76" s="3"/>
    </row>
    <row r="77" spans="3:9" x14ac:dyDescent="0.3">
      <c r="C77" s="20">
        <v>68</v>
      </c>
      <c r="D77" s="43" t="s">
        <v>801</v>
      </c>
      <c r="F77" s="24" t="s">
        <v>12</v>
      </c>
      <c r="G77" s="3"/>
      <c r="H77" s="3"/>
      <c r="I77" s="3"/>
    </row>
    <row r="78" spans="3:9" x14ac:dyDescent="0.3">
      <c r="C78" s="20">
        <v>69</v>
      </c>
      <c r="D78" s="43" t="s">
        <v>802</v>
      </c>
      <c r="F78" s="24" t="s">
        <v>12</v>
      </c>
      <c r="G78" s="3"/>
      <c r="H78" s="3"/>
      <c r="I78" s="3"/>
    </row>
    <row r="79" spans="3:9" x14ac:dyDescent="0.3">
      <c r="C79" s="20">
        <v>70</v>
      </c>
      <c r="D79" s="43" t="s">
        <v>803</v>
      </c>
      <c r="F79" s="24" t="s">
        <v>12</v>
      </c>
      <c r="G79" s="3"/>
      <c r="H79" s="3"/>
      <c r="I79" s="3"/>
    </row>
    <row r="80" spans="3:9" x14ac:dyDescent="0.3">
      <c r="C80" s="20">
        <v>71</v>
      </c>
      <c r="D80" s="43" t="s">
        <v>804</v>
      </c>
      <c r="F80" s="24" t="s">
        <v>12</v>
      </c>
      <c r="G80" s="3"/>
      <c r="H80" s="3"/>
      <c r="I80" s="3"/>
    </row>
    <row r="81" spans="3:9" x14ac:dyDescent="0.3">
      <c r="C81" s="20">
        <v>72</v>
      </c>
      <c r="D81" s="43" t="s">
        <v>805</v>
      </c>
      <c r="F81" s="24" t="s">
        <v>12</v>
      </c>
      <c r="G81" s="3"/>
      <c r="H81" s="3"/>
      <c r="I81" s="3"/>
    </row>
    <row r="82" spans="3:9" x14ac:dyDescent="0.3">
      <c r="C82" s="20">
        <v>73</v>
      </c>
      <c r="D82" s="43" t="s">
        <v>806</v>
      </c>
      <c r="F82" s="24" t="s">
        <v>12</v>
      </c>
      <c r="G82" s="3"/>
      <c r="H82" s="3"/>
      <c r="I82" s="3"/>
    </row>
    <row r="83" spans="3:9" x14ac:dyDescent="0.3">
      <c r="C83" s="20">
        <v>74</v>
      </c>
      <c r="D83" s="43" t="s">
        <v>807</v>
      </c>
      <c r="F83" s="24" t="s">
        <v>12</v>
      </c>
      <c r="G83" s="3"/>
      <c r="H83" s="3"/>
      <c r="I83" s="3"/>
    </row>
    <row r="84" spans="3:9" x14ac:dyDescent="0.3">
      <c r="C84" s="20">
        <v>75</v>
      </c>
      <c r="D84" s="43" t="s">
        <v>808</v>
      </c>
      <c r="F84" s="24" t="s">
        <v>12</v>
      </c>
      <c r="G84" s="3"/>
      <c r="H84" s="3"/>
      <c r="I84" s="3"/>
    </row>
    <row r="85" spans="3:9" x14ac:dyDescent="0.3">
      <c r="C85" s="20">
        <v>76</v>
      </c>
      <c r="D85" s="43" t="s">
        <v>809</v>
      </c>
      <c r="F85" s="24" t="s">
        <v>12</v>
      </c>
      <c r="G85" s="3"/>
      <c r="H85" s="3"/>
      <c r="I85" s="3"/>
    </row>
    <row r="86" spans="3:9" x14ac:dyDescent="0.3">
      <c r="C86" s="20">
        <v>77</v>
      </c>
      <c r="D86" s="43" t="s">
        <v>810</v>
      </c>
      <c r="F86" s="24" t="s">
        <v>12</v>
      </c>
      <c r="G86" s="3"/>
      <c r="H86" s="3"/>
      <c r="I86" s="3"/>
    </row>
    <row r="87" spans="3:9" x14ac:dyDescent="0.3">
      <c r="C87" s="20">
        <v>78</v>
      </c>
      <c r="D87" s="43" t="s">
        <v>811</v>
      </c>
      <c r="F87" s="24" t="s">
        <v>12</v>
      </c>
      <c r="G87" s="3"/>
      <c r="H87" s="3"/>
      <c r="I87" s="3"/>
    </row>
    <row r="88" spans="3:9" x14ac:dyDescent="0.3">
      <c r="C88" s="20">
        <v>79</v>
      </c>
      <c r="D88" s="43" t="s">
        <v>812</v>
      </c>
      <c r="F88" s="24" t="s">
        <v>12</v>
      </c>
      <c r="G88" s="3"/>
      <c r="H88" s="3"/>
      <c r="I88" s="3"/>
    </row>
    <row r="89" spans="3:9" ht="15.7" customHeight="1" x14ac:dyDescent="0.3"/>
    <row r="90" spans="3:9" ht="15.7" customHeight="1" x14ac:dyDescent="0.3">
      <c r="C90" s="88" t="s">
        <v>14</v>
      </c>
      <c r="D90" s="70"/>
      <c r="F90" s="6" t="s">
        <v>1</v>
      </c>
      <c r="G90" s="6" t="s">
        <v>3</v>
      </c>
      <c r="H90" s="6" t="s">
        <v>5</v>
      </c>
      <c r="I90" s="6" t="s">
        <v>10</v>
      </c>
    </row>
    <row r="91" spans="3:9" ht="15.7" customHeight="1" x14ac:dyDescent="0.3">
      <c r="C91" s="36">
        <v>1</v>
      </c>
      <c r="D91" s="43" t="s">
        <v>813</v>
      </c>
      <c r="F91" s="24" t="s">
        <v>12</v>
      </c>
      <c r="G91" s="3"/>
      <c r="H91" s="3"/>
      <c r="I91" s="3"/>
    </row>
    <row r="92" spans="3:9" ht="15.7" customHeight="1" x14ac:dyDescent="0.3">
      <c r="C92" s="34">
        <v>2</v>
      </c>
      <c r="D92" s="43" t="s">
        <v>814</v>
      </c>
      <c r="F92" s="24" t="s">
        <v>12</v>
      </c>
      <c r="G92" s="3"/>
      <c r="H92" s="3"/>
      <c r="I92" s="3"/>
    </row>
    <row r="93" spans="3:9" ht="15.7" customHeight="1" x14ac:dyDescent="0.3">
      <c r="C93" s="31">
        <v>3</v>
      </c>
      <c r="D93" s="43" t="s">
        <v>815</v>
      </c>
      <c r="F93" s="24" t="s">
        <v>12</v>
      </c>
      <c r="G93" s="3"/>
      <c r="H93" s="3"/>
      <c r="I93" s="3"/>
    </row>
    <row r="94" spans="3:9" ht="15.7" customHeight="1" x14ac:dyDescent="0.3">
      <c r="C94" s="36">
        <v>4</v>
      </c>
      <c r="D94" s="43" t="s">
        <v>816</v>
      </c>
      <c r="F94" s="24" t="s">
        <v>12</v>
      </c>
      <c r="G94" s="3"/>
      <c r="H94" s="3"/>
      <c r="I94" s="3"/>
    </row>
    <row r="95" spans="3:9" ht="15.7" customHeight="1" x14ac:dyDescent="0.3">
      <c r="C95" s="34">
        <v>5</v>
      </c>
      <c r="D95" s="43" t="s">
        <v>817</v>
      </c>
      <c r="F95" s="24" t="s">
        <v>12</v>
      </c>
      <c r="G95" s="3"/>
      <c r="H95" s="3"/>
      <c r="I95" s="3"/>
    </row>
    <row r="96" spans="3:9" ht="15.7" customHeight="1" x14ac:dyDescent="0.3">
      <c r="C96" s="31">
        <v>6</v>
      </c>
      <c r="D96" s="43" t="s">
        <v>818</v>
      </c>
      <c r="F96" s="24" t="s">
        <v>12</v>
      </c>
      <c r="G96" s="3"/>
      <c r="H96" s="3"/>
      <c r="I96" s="3"/>
    </row>
    <row r="97" spans="3:9" ht="15.7" customHeight="1" x14ac:dyDescent="0.3">
      <c r="C97" s="36">
        <v>7</v>
      </c>
      <c r="D97" s="43" t="s">
        <v>819</v>
      </c>
      <c r="F97" s="24" t="s">
        <v>12</v>
      </c>
      <c r="G97" s="3"/>
      <c r="H97" s="3"/>
      <c r="I97" s="3"/>
    </row>
    <row r="98" spans="3:9" ht="15.7" customHeight="1" x14ac:dyDescent="0.3">
      <c r="C98" s="34">
        <v>8</v>
      </c>
      <c r="D98" s="43" t="s">
        <v>820</v>
      </c>
      <c r="F98" s="24" t="s">
        <v>12</v>
      </c>
      <c r="G98" s="3"/>
      <c r="H98" s="3"/>
      <c r="I98" s="3"/>
    </row>
    <row r="99" spans="3:9" ht="15.7" customHeight="1" x14ac:dyDescent="0.3">
      <c r="C99" s="31">
        <v>9</v>
      </c>
      <c r="D99" s="43" t="s">
        <v>821</v>
      </c>
      <c r="F99" s="24" t="s">
        <v>12</v>
      </c>
      <c r="G99" s="3"/>
      <c r="H99" s="3"/>
      <c r="I99" s="3"/>
    </row>
    <row r="100" spans="3:9" ht="15.7" customHeight="1" x14ac:dyDescent="0.3">
      <c r="C100" s="36">
        <v>10</v>
      </c>
      <c r="D100" s="43" t="s">
        <v>822</v>
      </c>
      <c r="F100" s="24" t="s">
        <v>12</v>
      </c>
      <c r="G100" s="3"/>
      <c r="H100" s="3"/>
      <c r="I100" s="3"/>
    </row>
    <row r="101" spans="3:9" ht="15.7" customHeight="1" x14ac:dyDescent="0.3">
      <c r="C101" s="34">
        <v>11</v>
      </c>
      <c r="D101" s="43" t="s">
        <v>823</v>
      </c>
      <c r="F101" s="24" t="s">
        <v>12</v>
      </c>
      <c r="G101" s="3"/>
      <c r="H101" s="3"/>
      <c r="I101" s="3"/>
    </row>
    <row r="102" spans="3:9" ht="15.7" customHeight="1" x14ac:dyDescent="0.3">
      <c r="C102" s="31">
        <v>12</v>
      </c>
      <c r="D102" s="43" t="s">
        <v>824</v>
      </c>
      <c r="F102" s="24" t="s">
        <v>12</v>
      </c>
      <c r="G102" s="3"/>
      <c r="H102" s="3"/>
      <c r="I102" s="3"/>
    </row>
    <row r="103" spans="3:9" ht="15.7" customHeight="1" x14ac:dyDescent="0.3">
      <c r="C103" s="36">
        <v>13</v>
      </c>
      <c r="D103" s="43" t="s">
        <v>825</v>
      </c>
      <c r="F103" s="24" t="s">
        <v>12</v>
      </c>
      <c r="G103" s="3"/>
      <c r="H103" s="3"/>
      <c r="I103" s="3"/>
    </row>
    <row r="104" spans="3:9" ht="15.7" customHeight="1" x14ac:dyDescent="0.3">
      <c r="C104" s="34">
        <v>14</v>
      </c>
      <c r="D104" s="43" t="s">
        <v>826</v>
      </c>
      <c r="F104" s="24" t="s">
        <v>12</v>
      </c>
      <c r="G104" s="3"/>
      <c r="H104" s="3"/>
      <c r="I104" s="3"/>
    </row>
    <row r="105" spans="3:9" ht="15.7" customHeight="1" x14ac:dyDescent="0.3">
      <c r="C105" s="31">
        <v>15</v>
      </c>
      <c r="D105" s="43" t="s">
        <v>827</v>
      </c>
      <c r="F105" s="24" t="s">
        <v>12</v>
      </c>
      <c r="G105" s="3"/>
      <c r="H105" s="3"/>
      <c r="I105" s="3"/>
    </row>
    <row r="106" spans="3:9" ht="15.7" customHeight="1" x14ac:dyDescent="0.3">
      <c r="C106" s="36">
        <v>16</v>
      </c>
      <c r="D106" s="43" t="s">
        <v>828</v>
      </c>
      <c r="F106" s="24" t="s">
        <v>12</v>
      </c>
      <c r="G106" s="3"/>
      <c r="H106" s="3"/>
      <c r="I106" s="3"/>
    </row>
    <row r="107" spans="3:9" ht="15.7" customHeight="1" x14ac:dyDescent="0.3">
      <c r="C107" s="34">
        <v>17</v>
      </c>
      <c r="D107" s="43" t="s">
        <v>829</v>
      </c>
      <c r="F107" s="24" t="s">
        <v>12</v>
      </c>
      <c r="G107" s="3"/>
      <c r="H107" s="3"/>
      <c r="I107" s="3"/>
    </row>
    <row r="108" spans="3:9" ht="15.7" customHeight="1" x14ac:dyDescent="0.3">
      <c r="C108" s="31">
        <v>18</v>
      </c>
      <c r="D108" s="43" t="s">
        <v>830</v>
      </c>
      <c r="F108" s="24" t="s">
        <v>12</v>
      </c>
      <c r="G108" s="3"/>
      <c r="H108" s="3"/>
      <c r="I108" s="3"/>
    </row>
    <row r="109" spans="3:9" ht="15.7" customHeight="1" x14ac:dyDescent="0.3">
      <c r="C109" s="36">
        <v>19</v>
      </c>
      <c r="D109" s="43" t="s">
        <v>709</v>
      </c>
      <c r="F109" s="24" t="s">
        <v>12</v>
      </c>
      <c r="G109" s="3"/>
      <c r="H109" s="3"/>
      <c r="I109" s="3"/>
    </row>
    <row r="110" spans="3:9" ht="15.7" customHeight="1" x14ac:dyDescent="0.3">
      <c r="C110" s="34">
        <v>20</v>
      </c>
      <c r="D110" s="43" t="s">
        <v>831</v>
      </c>
      <c r="F110" s="24" t="s">
        <v>12</v>
      </c>
      <c r="G110" s="3"/>
      <c r="H110" s="3"/>
      <c r="I110" s="3"/>
    </row>
    <row r="111" spans="3:9" ht="15.7" customHeight="1" x14ac:dyDescent="0.3">
      <c r="C111" s="31">
        <v>21</v>
      </c>
      <c r="D111" s="43" t="s">
        <v>832</v>
      </c>
      <c r="F111" s="24" t="s">
        <v>12</v>
      </c>
      <c r="G111" s="3"/>
      <c r="H111" s="3"/>
      <c r="I111" s="3"/>
    </row>
    <row r="112" spans="3:9" ht="15.7" customHeight="1" x14ac:dyDescent="0.3">
      <c r="C112" s="36">
        <v>22</v>
      </c>
      <c r="D112" s="43" t="s">
        <v>833</v>
      </c>
      <c r="F112" s="24" t="s">
        <v>12</v>
      </c>
      <c r="G112" s="3"/>
      <c r="H112" s="3"/>
      <c r="I112" s="3"/>
    </row>
    <row r="113" spans="3:9" ht="15.7" customHeight="1" x14ac:dyDescent="0.3">
      <c r="C113" s="31">
        <v>23</v>
      </c>
      <c r="D113" s="43" t="s">
        <v>834</v>
      </c>
      <c r="F113" s="24" t="s">
        <v>12</v>
      </c>
      <c r="G113" s="3"/>
      <c r="H113" s="3"/>
      <c r="I113" s="3"/>
    </row>
    <row r="114" spans="3:9" ht="15.7" customHeight="1" x14ac:dyDescent="0.3">
      <c r="C114" s="36">
        <v>24</v>
      </c>
      <c r="D114" s="43" t="s">
        <v>835</v>
      </c>
      <c r="F114" s="24" t="s">
        <v>12</v>
      </c>
      <c r="G114" s="3"/>
      <c r="H114" s="3"/>
      <c r="I114" s="3"/>
    </row>
    <row r="115" spans="3:9" ht="15.7" customHeight="1" x14ac:dyDescent="0.3">
      <c r="C115" s="34">
        <v>25</v>
      </c>
      <c r="D115" s="43" t="s">
        <v>836</v>
      </c>
      <c r="F115" s="24" t="s">
        <v>12</v>
      </c>
      <c r="G115" s="3"/>
      <c r="H115" s="3"/>
      <c r="I115" s="3"/>
    </row>
    <row r="116" spans="3:9" ht="15.7" customHeight="1" x14ac:dyDescent="0.3">
      <c r="C116" s="31">
        <v>26</v>
      </c>
      <c r="D116" s="43" t="s">
        <v>837</v>
      </c>
      <c r="F116" s="24" t="s">
        <v>12</v>
      </c>
      <c r="G116" s="3"/>
      <c r="H116" s="3"/>
      <c r="I116" s="3"/>
    </row>
    <row r="117" spans="3:9" ht="15.7" customHeight="1" x14ac:dyDescent="0.3">
      <c r="C117" s="36">
        <v>27</v>
      </c>
      <c r="D117" s="43" t="s">
        <v>324</v>
      </c>
      <c r="F117" s="24" t="s">
        <v>12</v>
      </c>
      <c r="G117" s="3"/>
      <c r="H117" s="3"/>
      <c r="I117" s="3"/>
    </row>
    <row r="118" spans="3:9" ht="15.7" customHeight="1" x14ac:dyDescent="0.3">
      <c r="C118" s="31">
        <v>28</v>
      </c>
      <c r="D118" s="43" t="s">
        <v>719</v>
      </c>
      <c r="F118" s="24" t="s">
        <v>12</v>
      </c>
      <c r="G118" s="3"/>
      <c r="H118" s="3"/>
      <c r="I118" s="3"/>
    </row>
    <row r="119" spans="3:9" ht="15.7" customHeight="1" x14ac:dyDescent="0.3">
      <c r="C119" s="36">
        <v>29</v>
      </c>
      <c r="D119" s="43" t="s">
        <v>838</v>
      </c>
      <c r="F119" s="24" t="s">
        <v>12</v>
      </c>
      <c r="G119" s="3"/>
      <c r="H119" s="3"/>
      <c r="I119" s="3"/>
    </row>
    <row r="120" spans="3:9" ht="15.7" customHeight="1" x14ac:dyDescent="0.3">
      <c r="C120" s="34">
        <v>30</v>
      </c>
      <c r="D120" s="43" t="s">
        <v>393</v>
      </c>
      <c r="F120" s="24" t="s">
        <v>12</v>
      </c>
      <c r="G120" s="3"/>
      <c r="H120" s="3"/>
      <c r="I120" s="3"/>
    </row>
    <row r="121" spans="3:9" ht="15.7" customHeight="1" x14ac:dyDescent="0.3">
      <c r="C121" s="31">
        <v>31</v>
      </c>
      <c r="D121" s="43" t="s">
        <v>839</v>
      </c>
      <c r="F121" s="24" t="s">
        <v>12</v>
      </c>
      <c r="G121" s="3"/>
      <c r="H121" s="3"/>
      <c r="I121" s="3"/>
    </row>
    <row r="122" spans="3:9" ht="15.7" customHeight="1" x14ac:dyDescent="0.3">
      <c r="C122" s="36">
        <v>32</v>
      </c>
      <c r="D122" s="43" t="s">
        <v>840</v>
      </c>
      <c r="F122" s="24" t="s">
        <v>12</v>
      </c>
      <c r="G122" s="3"/>
      <c r="H122" s="3"/>
      <c r="I122" s="3"/>
    </row>
    <row r="123" spans="3:9" ht="15.7" customHeight="1" x14ac:dyDescent="0.3">
      <c r="C123" s="31">
        <v>33</v>
      </c>
      <c r="D123" s="43" t="s">
        <v>841</v>
      </c>
      <c r="F123" s="24" t="s">
        <v>12</v>
      </c>
      <c r="G123" s="3"/>
      <c r="H123" s="3"/>
      <c r="I123" s="3"/>
    </row>
    <row r="124" spans="3:9" ht="15.7" customHeight="1" x14ac:dyDescent="0.3">
      <c r="C124" s="36">
        <v>34</v>
      </c>
      <c r="D124" s="43" t="s">
        <v>842</v>
      </c>
      <c r="F124" s="24" t="s">
        <v>12</v>
      </c>
      <c r="G124" s="3"/>
      <c r="H124" s="3"/>
      <c r="I124" s="3"/>
    </row>
    <row r="125" spans="3:9" ht="15.7" customHeight="1" x14ac:dyDescent="0.3">
      <c r="C125" s="34">
        <v>35</v>
      </c>
      <c r="D125" s="43" t="s">
        <v>843</v>
      </c>
      <c r="F125" s="24" t="s">
        <v>12</v>
      </c>
      <c r="G125" s="3"/>
      <c r="H125" s="3"/>
      <c r="I125" s="3"/>
    </row>
    <row r="126" spans="3:9" ht="15.7" customHeight="1" x14ac:dyDescent="0.3">
      <c r="C126" s="31">
        <v>36</v>
      </c>
      <c r="D126" s="43" t="s">
        <v>844</v>
      </c>
      <c r="F126" s="24" t="s">
        <v>12</v>
      </c>
      <c r="G126" s="3"/>
      <c r="H126" s="3"/>
      <c r="I126" s="3"/>
    </row>
    <row r="127" spans="3:9" ht="15.7" customHeight="1" x14ac:dyDescent="0.3">
      <c r="C127" s="36">
        <v>37</v>
      </c>
      <c r="D127" s="43" t="s">
        <v>845</v>
      </c>
      <c r="F127" s="24" t="s">
        <v>12</v>
      </c>
      <c r="G127" s="3"/>
      <c r="H127" s="3"/>
      <c r="I127" s="3"/>
    </row>
    <row r="128" spans="3:9" ht="15.7" customHeight="1" x14ac:dyDescent="0.3">
      <c r="C128" s="31">
        <v>38</v>
      </c>
      <c r="D128" s="43" t="s">
        <v>846</v>
      </c>
      <c r="F128" s="24" t="s">
        <v>12</v>
      </c>
      <c r="G128" s="3"/>
      <c r="H128" s="3"/>
      <c r="I128" s="3"/>
    </row>
    <row r="129" spans="3:9" ht="15.7" customHeight="1" x14ac:dyDescent="0.3">
      <c r="C129" s="36">
        <v>39</v>
      </c>
      <c r="D129" s="43" t="s">
        <v>847</v>
      </c>
      <c r="F129" s="24" t="s">
        <v>12</v>
      </c>
      <c r="G129" s="3"/>
      <c r="H129" s="3"/>
      <c r="I129" s="3"/>
    </row>
    <row r="130" spans="3:9" ht="15.7" customHeight="1" x14ac:dyDescent="0.3">
      <c r="C130" s="36">
        <v>40</v>
      </c>
      <c r="D130" s="43" t="s">
        <v>848</v>
      </c>
      <c r="F130" s="24" t="s">
        <v>12</v>
      </c>
      <c r="G130" s="3"/>
      <c r="H130" s="3"/>
      <c r="I130" s="3"/>
    </row>
    <row r="131" spans="3:9" ht="15.7" customHeight="1" x14ac:dyDescent="0.3">
      <c r="C131" s="31">
        <v>41</v>
      </c>
      <c r="D131" s="43" t="s">
        <v>849</v>
      </c>
      <c r="F131" s="24" t="s">
        <v>12</v>
      </c>
      <c r="G131" s="3"/>
      <c r="H131" s="3"/>
      <c r="I131" s="3"/>
    </row>
    <row r="132" spans="3:9" ht="15.7" customHeight="1" x14ac:dyDescent="0.3">
      <c r="C132" s="36">
        <v>42</v>
      </c>
      <c r="D132" s="43" t="s">
        <v>850</v>
      </c>
      <c r="F132" s="24" t="s">
        <v>12</v>
      </c>
      <c r="G132" s="3"/>
      <c r="H132" s="3"/>
      <c r="I132" s="3"/>
    </row>
    <row r="133" spans="3:9" ht="15.7" customHeight="1" x14ac:dyDescent="0.3">
      <c r="C133" s="36">
        <v>43</v>
      </c>
      <c r="D133" s="43" t="s">
        <v>851</v>
      </c>
      <c r="F133" s="24" t="s">
        <v>12</v>
      </c>
      <c r="G133" s="3"/>
      <c r="H133" s="3"/>
      <c r="I133" s="3"/>
    </row>
    <row r="134" spans="3:9" ht="15.7" customHeight="1" x14ac:dyDescent="0.3">
      <c r="C134" s="31">
        <v>44</v>
      </c>
      <c r="D134" s="43" t="s">
        <v>163</v>
      </c>
      <c r="F134" s="24" t="s">
        <v>12</v>
      </c>
      <c r="G134" s="3"/>
      <c r="H134" s="3"/>
      <c r="I134" s="3"/>
    </row>
    <row r="135" spans="3:9" ht="15.7" customHeight="1" x14ac:dyDescent="0.3">
      <c r="C135" s="36">
        <v>45</v>
      </c>
      <c r="D135" s="43" t="s">
        <v>852</v>
      </c>
      <c r="F135" s="24" t="s">
        <v>12</v>
      </c>
      <c r="G135" s="3"/>
      <c r="H135" s="3"/>
      <c r="I135" s="3"/>
    </row>
    <row r="136" spans="3:9" ht="15.7" customHeight="1" x14ac:dyDescent="0.3">
      <c r="C136" s="36">
        <v>46</v>
      </c>
      <c r="D136" s="43" t="s">
        <v>853</v>
      </c>
      <c r="F136" s="24" t="s">
        <v>12</v>
      </c>
      <c r="G136" s="3"/>
      <c r="H136" s="3"/>
      <c r="I136" s="3"/>
    </row>
    <row r="137" spans="3:9" ht="15.7" customHeight="1" x14ac:dyDescent="0.3">
      <c r="C137" s="31">
        <v>47</v>
      </c>
      <c r="D137" s="43" t="s">
        <v>854</v>
      </c>
      <c r="F137" s="24" t="s">
        <v>12</v>
      </c>
      <c r="G137" s="3"/>
      <c r="H137" s="3"/>
      <c r="I137" s="3"/>
    </row>
    <row r="138" spans="3:9" ht="15.7" customHeight="1" x14ac:dyDescent="0.3">
      <c r="C138" s="36">
        <v>48</v>
      </c>
      <c r="D138" s="43" t="s">
        <v>855</v>
      </c>
      <c r="F138" s="24" t="s">
        <v>12</v>
      </c>
      <c r="G138" s="3"/>
      <c r="H138" s="3"/>
      <c r="I138" s="3"/>
    </row>
    <row r="139" spans="3:9" ht="15.7" customHeight="1" x14ac:dyDescent="0.3">
      <c r="C139" s="36">
        <v>49</v>
      </c>
      <c r="D139" s="43" t="s">
        <v>856</v>
      </c>
      <c r="F139" s="24" t="s">
        <v>12</v>
      </c>
      <c r="G139" s="3"/>
      <c r="H139" s="3"/>
      <c r="I139" s="3"/>
    </row>
    <row r="140" spans="3:9" ht="15.7" customHeight="1" x14ac:dyDescent="0.3"/>
    <row r="141" spans="3:9" ht="15.7" customHeight="1" x14ac:dyDescent="0.3"/>
    <row r="142" spans="3:9" ht="15.7" customHeight="1" x14ac:dyDescent="0.3"/>
    <row r="143" spans="3:9" ht="15.7" customHeight="1" x14ac:dyDescent="0.3"/>
    <row r="144" spans="3:9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  <row r="1066" ht="15.7" customHeight="1" x14ac:dyDescent="0.3"/>
    <row r="1067" ht="15.7" customHeight="1" x14ac:dyDescent="0.3"/>
    <row r="1068" ht="15.7" customHeight="1" x14ac:dyDescent="0.3"/>
    <row r="1069" ht="15.7" customHeight="1" x14ac:dyDescent="0.3"/>
    <row r="1070" ht="15.7" customHeight="1" x14ac:dyDescent="0.3"/>
    <row r="1071" ht="15.7" customHeight="1" x14ac:dyDescent="0.3"/>
    <row r="1072" ht="15.7" customHeight="1" x14ac:dyDescent="0.3"/>
    <row r="1073" ht="15.7" customHeight="1" x14ac:dyDescent="0.3"/>
  </sheetData>
  <mergeCells count="4">
    <mergeCell ref="B2:I2"/>
    <mergeCell ref="F8:H8"/>
    <mergeCell ref="C9:D9"/>
    <mergeCell ref="C90:D9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6337778862885"/>
  </sheetPr>
  <dimension ref="B1:I1107"/>
  <sheetViews>
    <sheetView topLeftCell="C149" workbookViewId="0">
      <selection activeCell="B3" sqref="B3"/>
    </sheetView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1297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61" t="s">
        <v>857</v>
      </c>
      <c r="F10" s="24" t="s">
        <v>13</v>
      </c>
      <c r="G10" s="3"/>
      <c r="H10" s="3"/>
      <c r="I10" s="3"/>
    </row>
    <row r="11" spans="2:9" x14ac:dyDescent="0.3">
      <c r="C11" s="20">
        <v>2</v>
      </c>
      <c r="D11" s="61" t="s">
        <v>858</v>
      </c>
      <c r="F11" s="24" t="s">
        <v>13</v>
      </c>
      <c r="G11" s="3"/>
      <c r="H11" s="3"/>
      <c r="I11" s="3"/>
    </row>
    <row r="12" spans="2:9" x14ac:dyDescent="0.3">
      <c r="C12" s="20">
        <v>3</v>
      </c>
      <c r="D12" s="61" t="s">
        <v>859</v>
      </c>
      <c r="F12" s="24" t="s">
        <v>13</v>
      </c>
      <c r="G12" s="3"/>
      <c r="H12" s="3"/>
      <c r="I12" s="3"/>
    </row>
    <row r="13" spans="2:9" x14ac:dyDescent="0.3">
      <c r="C13" s="20">
        <v>4</v>
      </c>
      <c r="D13" s="61" t="s">
        <v>860</v>
      </c>
      <c r="F13" s="24" t="s">
        <v>13</v>
      </c>
      <c r="G13" s="3"/>
      <c r="H13" s="3"/>
      <c r="I13" s="3"/>
    </row>
    <row r="14" spans="2:9" x14ac:dyDescent="0.3">
      <c r="C14" s="20">
        <v>5</v>
      </c>
      <c r="D14" s="61" t="s">
        <v>861</v>
      </c>
      <c r="F14" s="24" t="s">
        <v>13</v>
      </c>
      <c r="G14" s="3"/>
      <c r="H14" s="3"/>
      <c r="I14" s="3"/>
    </row>
    <row r="15" spans="2:9" x14ac:dyDescent="0.3">
      <c r="C15" s="20">
        <v>6</v>
      </c>
      <c r="D15" s="61" t="s">
        <v>862</v>
      </c>
      <c r="F15" s="24" t="s">
        <v>13</v>
      </c>
      <c r="G15" s="3"/>
      <c r="H15" s="3"/>
      <c r="I15" s="3"/>
    </row>
    <row r="16" spans="2:9" x14ac:dyDescent="0.3">
      <c r="C16" s="20">
        <v>7</v>
      </c>
      <c r="D16" s="61" t="s">
        <v>863</v>
      </c>
      <c r="F16" s="24" t="s">
        <v>13</v>
      </c>
      <c r="G16" s="3"/>
      <c r="H16" s="3"/>
      <c r="I16" s="3"/>
    </row>
    <row r="17" spans="3:9" x14ac:dyDescent="0.3">
      <c r="C17" s="20">
        <v>8</v>
      </c>
      <c r="D17" s="61" t="s">
        <v>864</v>
      </c>
      <c r="F17" s="24" t="s">
        <v>13</v>
      </c>
      <c r="G17" s="3"/>
      <c r="H17" s="3"/>
      <c r="I17" s="3"/>
    </row>
    <row r="18" spans="3:9" x14ac:dyDescent="0.3">
      <c r="C18" s="20">
        <v>9</v>
      </c>
      <c r="D18" s="61" t="s">
        <v>865</v>
      </c>
      <c r="F18" s="24" t="s">
        <v>13</v>
      </c>
      <c r="G18" s="3"/>
      <c r="H18" s="3"/>
      <c r="I18" s="3"/>
    </row>
    <row r="19" spans="3:9" x14ac:dyDescent="0.3">
      <c r="C19" s="20">
        <v>10</v>
      </c>
      <c r="D19" s="61" t="s">
        <v>866</v>
      </c>
      <c r="F19" s="24" t="s">
        <v>13</v>
      </c>
      <c r="G19" s="3"/>
      <c r="H19" s="3"/>
      <c r="I19" s="3"/>
    </row>
    <row r="20" spans="3:9" x14ac:dyDescent="0.3">
      <c r="C20" s="20">
        <v>11</v>
      </c>
      <c r="D20" s="61" t="s">
        <v>867</v>
      </c>
      <c r="F20" s="24" t="s">
        <v>13</v>
      </c>
      <c r="G20" s="3"/>
      <c r="H20" s="3"/>
      <c r="I20" s="3"/>
    </row>
    <row r="21" spans="3:9" x14ac:dyDescent="0.3">
      <c r="C21" s="20">
        <v>12</v>
      </c>
      <c r="D21" s="61" t="s">
        <v>868</v>
      </c>
      <c r="F21" s="24" t="s">
        <v>13</v>
      </c>
      <c r="G21" s="3"/>
      <c r="H21" s="3"/>
      <c r="I21" s="3"/>
    </row>
    <row r="22" spans="3:9" x14ac:dyDescent="0.3">
      <c r="C22" s="20">
        <v>13</v>
      </c>
      <c r="D22" s="61" t="s">
        <v>869</v>
      </c>
      <c r="F22" s="24" t="s">
        <v>13</v>
      </c>
      <c r="G22" s="3"/>
      <c r="H22" s="3"/>
      <c r="I22" s="3"/>
    </row>
    <row r="23" spans="3:9" x14ac:dyDescent="0.3">
      <c r="C23" s="20">
        <v>14</v>
      </c>
      <c r="D23" s="61" t="s">
        <v>870</v>
      </c>
      <c r="F23" s="24" t="s">
        <v>13</v>
      </c>
      <c r="G23" s="3"/>
      <c r="H23" s="3"/>
      <c r="I23" s="3"/>
    </row>
    <row r="24" spans="3:9" x14ac:dyDescent="0.3">
      <c r="C24" s="20">
        <v>15</v>
      </c>
      <c r="D24" s="61" t="s">
        <v>871</v>
      </c>
      <c r="F24" s="24" t="s">
        <v>13</v>
      </c>
      <c r="G24" s="3"/>
      <c r="H24" s="3"/>
      <c r="I24" s="3"/>
    </row>
    <row r="25" spans="3:9" x14ac:dyDescent="0.3">
      <c r="C25" s="20">
        <v>16</v>
      </c>
      <c r="D25" s="61" t="s">
        <v>872</v>
      </c>
      <c r="F25" s="24" t="s">
        <v>13</v>
      </c>
      <c r="G25" s="3"/>
      <c r="H25" s="3"/>
      <c r="I25" s="3"/>
    </row>
    <row r="26" spans="3:9" x14ac:dyDescent="0.3">
      <c r="C26" s="20">
        <v>17</v>
      </c>
      <c r="D26" s="61" t="s">
        <v>873</v>
      </c>
      <c r="F26" s="24" t="s">
        <v>13</v>
      </c>
      <c r="G26" s="3"/>
      <c r="H26" s="3"/>
      <c r="I26" s="3"/>
    </row>
    <row r="27" spans="3:9" x14ac:dyDescent="0.3">
      <c r="C27" s="20">
        <v>18</v>
      </c>
      <c r="D27" s="61" t="s">
        <v>874</v>
      </c>
      <c r="F27" s="24" t="s">
        <v>13</v>
      </c>
      <c r="G27" s="3"/>
      <c r="H27" s="3"/>
      <c r="I27" s="3"/>
    </row>
    <row r="28" spans="3:9" x14ac:dyDescent="0.3">
      <c r="C28" s="20">
        <v>19</v>
      </c>
      <c r="D28" s="61" t="s">
        <v>875</v>
      </c>
      <c r="F28" s="24" t="s">
        <v>13</v>
      </c>
      <c r="G28" s="3"/>
      <c r="H28" s="3"/>
      <c r="I28" s="3"/>
    </row>
    <row r="29" spans="3:9" x14ac:dyDescent="0.3">
      <c r="C29" s="20">
        <v>20</v>
      </c>
      <c r="D29" s="61" t="s">
        <v>876</v>
      </c>
      <c r="F29" s="24" t="s">
        <v>13</v>
      </c>
      <c r="G29" s="3"/>
      <c r="H29" s="3"/>
      <c r="I29" s="3"/>
    </row>
    <row r="30" spans="3:9" x14ac:dyDescent="0.3">
      <c r="C30" s="20">
        <v>21</v>
      </c>
      <c r="D30" s="61" t="s">
        <v>877</v>
      </c>
      <c r="F30" s="24" t="s">
        <v>13</v>
      </c>
      <c r="G30" s="3"/>
      <c r="H30" s="3"/>
      <c r="I30" s="3"/>
    </row>
    <row r="31" spans="3:9" x14ac:dyDescent="0.3">
      <c r="C31" s="20">
        <v>22</v>
      </c>
      <c r="D31" s="61" t="s">
        <v>878</v>
      </c>
      <c r="F31" s="24" t="s">
        <v>13</v>
      </c>
      <c r="G31" s="3"/>
      <c r="H31" s="3"/>
      <c r="I31" s="3"/>
    </row>
    <row r="32" spans="3:9" x14ac:dyDescent="0.3">
      <c r="C32" s="20">
        <v>23</v>
      </c>
      <c r="D32" s="61" t="s">
        <v>879</v>
      </c>
      <c r="F32" s="24" t="s">
        <v>13</v>
      </c>
      <c r="G32" s="3"/>
      <c r="H32" s="3"/>
      <c r="I32" s="3"/>
    </row>
    <row r="33" spans="3:9" x14ac:dyDescent="0.3">
      <c r="C33" s="20">
        <v>24</v>
      </c>
      <c r="D33" s="61" t="s">
        <v>880</v>
      </c>
      <c r="F33" s="24" t="s">
        <v>13</v>
      </c>
      <c r="G33" s="3"/>
      <c r="H33" s="3"/>
      <c r="I33" s="3"/>
    </row>
    <row r="34" spans="3:9" x14ac:dyDescent="0.3">
      <c r="C34" s="20">
        <v>25</v>
      </c>
      <c r="D34" s="61" t="s">
        <v>881</v>
      </c>
      <c r="F34" s="24" t="s">
        <v>13</v>
      </c>
      <c r="G34" s="3"/>
      <c r="H34" s="3"/>
      <c r="I34" s="3"/>
    </row>
    <row r="35" spans="3:9" x14ac:dyDescent="0.3">
      <c r="C35" s="20">
        <v>26</v>
      </c>
      <c r="D35" s="61" t="s">
        <v>882</v>
      </c>
      <c r="F35" s="24" t="s">
        <v>13</v>
      </c>
      <c r="G35" s="3"/>
      <c r="H35" s="3"/>
      <c r="I35" s="3"/>
    </row>
    <row r="36" spans="3:9" x14ac:dyDescent="0.3">
      <c r="C36" s="20">
        <v>27</v>
      </c>
      <c r="D36" s="61" t="s">
        <v>883</v>
      </c>
      <c r="F36" s="24" t="s">
        <v>13</v>
      </c>
      <c r="G36" s="3"/>
      <c r="H36" s="3"/>
      <c r="I36" s="3"/>
    </row>
    <row r="37" spans="3:9" x14ac:dyDescent="0.3">
      <c r="C37" s="20">
        <v>28</v>
      </c>
      <c r="D37" s="61" t="s">
        <v>884</v>
      </c>
      <c r="F37" s="24" t="s">
        <v>13</v>
      </c>
      <c r="G37" s="3"/>
      <c r="H37" s="3"/>
      <c r="I37" s="3"/>
    </row>
    <row r="38" spans="3:9" x14ac:dyDescent="0.3">
      <c r="C38" s="20">
        <v>29</v>
      </c>
      <c r="D38" s="61" t="s">
        <v>885</v>
      </c>
      <c r="F38" s="24" t="s">
        <v>13</v>
      </c>
      <c r="G38" s="3"/>
      <c r="H38" s="3"/>
      <c r="I38" s="3"/>
    </row>
    <row r="39" spans="3:9" x14ac:dyDescent="0.3">
      <c r="C39" s="20">
        <v>30</v>
      </c>
      <c r="D39" s="61" t="s">
        <v>886</v>
      </c>
      <c r="F39" s="24" t="s">
        <v>13</v>
      </c>
      <c r="G39" s="3"/>
      <c r="H39" s="3"/>
      <c r="I39" s="3"/>
    </row>
    <row r="40" spans="3:9" x14ac:dyDescent="0.3">
      <c r="C40" s="20">
        <v>31</v>
      </c>
      <c r="D40" s="61" t="s">
        <v>887</v>
      </c>
      <c r="F40" s="24" t="s">
        <v>13</v>
      </c>
      <c r="G40" s="3"/>
      <c r="H40" s="3"/>
      <c r="I40" s="3"/>
    </row>
    <row r="41" spans="3:9" x14ac:dyDescent="0.3">
      <c r="C41" s="20">
        <v>32</v>
      </c>
      <c r="D41" s="61" t="s">
        <v>888</v>
      </c>
      <c r="F41" s="24" t="s">
        <v>13</v>
      </c>
      <c r="G41" s="3"/>
      <c r="H41" s="3"/>
      <c r="I41" s="3"/>
    </row>
    <row r="42" spans="3:9" x14ac:dyDescent="0.3">
      <c r="C42" s="20">
        <v>33</v>
      </c>
      <c r="D42" s="61" t="s">
        <v>889</v>
      </c>
      <c r="F42" s="24" t="s">
        <v>13</v>
      </c>
      <c r="G42" s="3"/>
      <c r="H42" s="3"/>
      <c r="I42" s="3"/>
    </row>
    <row r="43" spans="3:9" x14ac:dyDescent="0.3">
      <c r="C43" s="20">
        <v>34</v>
      </c>
      <c r="D43" s="61" t="s">
        <v>890</v>
      </c>
      <c r="F43" s="24" t="s">
        <v>13</v>
      </c>
      <c r="G43" s="3"/>
      <c r="H43" s="3"/>
      <c r="I43" s="3"/>
    </row>
    <row r="44" spans="3:9" x14ac:dyDescent="0.3">
      <c r="C44" s="20">
        <v>35</v>
      </c>
      <c r="D44" s="61" t="s">
        <v>891</v>
      </c>
      <c r="F44" s="24" t="s">
        <v>13</v>
      </c>
      <c r="G44" s="3"/>
      <c r="H44" s="3"/>
      <c r="I44" s="3"/>
    </row>
    <row r="45" spans="3:9" x14ac:dyDescent="0.3">
      <c r="C45" s="20">
        <v>36</v>
      </c>
      <c r="D45" s="61" t="s">
        <v>892</v>
      </c>
      <c r="F45" s="24" t="s">
        <v>13</v>
      </c>
      <c r="G45" s="3"/>
      <c r="H45" s="3"/>
      <c r="I45" s="3"/>
    </row>
    <row r="46" spans="3:9" x14ac:dyDescent="0.3">
      <c r="C46" s="20">
        <v>37</v>
      </c>
      <c r="D46" s="61" t="s">
        <v>893</v>
      </c>
      <c r="F46" s="24" t="s">
        <v>13</v>
      </c>
      <c r="G46" s="3"/>
      <c r="H46" s="3"/>
      <c r="I46" s="3"/>
    </row>
    <row r="47" spans="3:9" x14ac:dyDescent="0.3">
      <c r="C47" s="20">
        <v>38</v>
      </c>
      <c r="D47" s="61" t="s">
        <v>894</v>
      </c>
      <c r="F47" s="24" t="s">
        <v>13</v>
      </c>
      <c r="G47" s="3"/>
      <c r="H47" s="3"/>
      <c r="I47" s="3"/>
    </row>
    <row r="48" spans="3:9" x14ac:dyDescent="0.3">
      <c r="C48" s="20">
        <v>39</v>
      </c>
      <c r="D48" s="61" t="s">
        <v>895</v>
      </c>
      <c r="F48" s="24" t="s">
        <v>13</v>
      </c>
      <c r="G48" s="3"/>
      <c r="H48" s="3"/>
      <c r="I48" s="3"/>
    </row>
    <row r="49" spans="3:9" x14ac:dyDescent="0.3">
      <c r="C49" s="20">
        <v>40</v>
      </c>
      <c r="D49" s="61" t="s">
        <v>896</v>
      </c>
      <c r="F49" s="24" t="s">
        <v>13</v>
      </c>
      <c r="G49" s="3"/>
      <c r="H49" s="3"/>
      <c r="I49" s="3"/>
    </row>
    <row r="50" spans="3:9" x14ac:dyDescent="0.3">
      <c r="C50" s="20">
        <v>41</v>
      </c>
      <c r="D50" s="61" t="s">
        <v>897</v>
      </c>
      <c r="F50" s="24" t="s">
        <v>13</v>
      </c>
      <c r="G50" s="3"/>
      <c r="H50" s="3"/>
      <c r="I50" s="3"/>
    </row>
    <row r="51" spans="3:9" x14ac:dyDescent="0.3">
      <c r="C51" s="20">
        <v>42</v>
      </c>
      <c r="D51" s="61" t="s">
        <v>898</v>
      </c>
      <c r="F51" s="24" t="s">
        <v>13</v>
      </c>
      <c r="G51" s="3"/>
      <c r="H51" s="3"/>
      <c r="I51" s="3"/>
    </row>
    <row r="52" spans="3:9" ht="15.7" customHeight="1" x14ac:dyDescent="0.3">
      <c r="C52" s="20">
        <v>43</v>
      </c>
      <c r="D52" s="61" t="s">
        <v>899</v>
      </c>
      <c r="F52" s="24" t="s">
        <v>13</v>
      </c>
      <c r="G52" s="3"/>
      <c r="H52" s="3"/>
      <c r="I52" s="3"/>
    </row>
    <row r="53" spans="3:9" ht="15.7" customHeight="1" x14ac:dyDescent="0.3">
      <c r="C53" s="20">
        <v>44</v>
      </c>
      <c r="D53" s="61" t="s">
        <v>900</v>
      </c>
      <c r="F53" s="24" t="s">
        <v>13</v>
      </c>
      <c r="G53" s="3"/>
      <c r="H53" s="3"/>
      <c r="I53" s="3"/>
    </row>
    <row r="54" spans="3:9" ht="15.7" customHeight="1" x14ac:dyDescent="0.3">
      <c r="C54" s="20">
        <v>45</v>
      </c>
      <c r="D54" s="61" t="s">
        <v>901</v>
      </c>
      <c r="F54" s="24" t="s">
        <v>13</v>
      </c>
      <c r="G54" s="3"/>
      <c r="H54" s="3"/>
      <c r="I54" s="3"/>
    </row>
    <row r="55" spans="3:9" ht="15.7" customHeight="1" x14ac:dyDescent="0.3">
      <c r="C55" s="20">
        <v>46</v>
      </c>
      <c r="D55" s="61" t="s">
        <v>902</v>
      </c>
      <c r="F55" s="24" t="s">
        <v>13</v>
      </c>
      <c r="G55" s="3"/>
      <c r="H55" s="3"/>
      <c r="I55" s="3"/>
    </row>
    <row r="56" spans="3:9" ht="15.7" customHeight="1" x14ac:dyDescent="0.3">
      <c r="C56" s="20">
        <v>47</v>
      </c>
      <c r="D56" s="61" t="s">
        <v>903</v>
      </c>
      <c r="F56" s="24" t="s">
        <v>13</v>
      </c>
      <c r="G56" s="3"/>
      <c r="H56" s="3"/>
      <c r="I56" s="3"/>
    </row>
    <row r="57" spans="3:9" ht="15.7" customHeight="1" x14ac:dyDescent="0.3">
      <c r="C57" s="20">
        <v>48</v>
      </c>
      <c r="D57" s="61" t="s">
        <v>904</v>
      </c>
      <c r="F57" s="24" t="s">
        <v>13</v>
      </c>
      <c r="G57" s="3"/>
      <c r="H57" s="3"/>
      <c r="I57" s="3"/>
    </row>
    <row r="58" spans="3:9" ht="15.7" customHeight="1" x14ac:dyDescent="0.3">
      <c r="C58" s="20">
        <v>49</v>
      </c>
      <c r="D58" s="61" t="s">
        <v>905</v>
      </c>
      <c r="F58" s="24" t="s">
        <v>13</v>
      </c>
      <c r="G58" s="3"/>
      <c r="H58" s="3"/>
      <c r="I58" s="3"/>
    </row>
    <row r="59" spans="3:9" ht="15.7" customHeight="1" x14ac:dyDescent="0.3">
      <c r="C59" s="20">
        <v>50</v>
      </c>
      <c r="D59" s="61" t="s">
        <v>906</v>
      </c>
      <c r="F59" s="24" t="s">
        <v>13</v>
      </c>
      <c r="G59" s="3"/>
      <c r="H59" s="3"/>
      <c r="I59" s="3"/>
    </row>
    <row r="60" spans="3:9" ht="15.7" customHeight="1" x14ac:dyDescent="0.3">
      <c r="C60" s="20">
        <v>51</v>
      </c>
      <c r="D60" s="61" t="s">
        <v>907</v>
      </c>
      <c r="F60" s="24" t="s">
        <v>13</v>
      </c>
      <c r="G60" s="3"/>
      <c r="H60" s="3"/>
      <c r="I60" s="3"/>
    </row>
    <row r="61" spans="3:9" ht="15.7" customHeight="1" x14ac:dyDescent="0.3">
      <c r="C61" s="20">
        <v>52</v>
      </c>
      <c r="D61" s="61" t="s">
        <v>908</v>
      </c>
      <c r="F61" s="24" t="s">
        <v>13</v>
      </c>
      <c r="G61" s="3"/>
      <c r="H61" s="3"/>
      <c r="I61" s="3"/>
    </row>
    <row r="62" spans="3:9" ht="15.7" customHeight="1" x14ac:dyDescent="0.3">
      <c r="C62" s="20">
        <v>53</v>
      </c>
      <c r="D62" s="61" t="s">
        <v>909</v>
      </c>
      <c r="F62" s="24" t="s">
        <v>13</v>
      </c>
      <c r="G62" s="3"/>
      <c r="H62" s="3"/>
      <c r="I62" s="3"/>
    </row>
    <row r="63" spans="3:9" ht="15.7" customHeight="1" x14ac:dyDescent="0.3">
      <c r="C63" s="20">
        <v>54</v>
      </c>
      <c r="D63" s="61" t="s">
        <v>910</v>
      </c>
      <c r="F63" s="24" t="s">
        <v>13</v>
      </c>
      <c r="G63" s="3"/>
      <c r="H63" s="3"/>
      <c r="I63" s="3"/>
    </row>
    <row r="64" spans="3:9" ht="15.7" customHeight="1" x14ac:dyDescent="0.3">
      <c r="C64" s="20">
        <v>55</v>
      </c>
      <c r="D64" s="61" t="s">
        <v>911</v>
      </c>
      <c r="F64" s="24" t="s">
        <v>13</v>
      </c>
      <c r="G64" s="3"/>
      <c r="H64" s="3"/>
      <c r="I64" s="3"/>
    </row>
    <row r="65" spans="3:9" ht="15.7" customHeight="1" x14ac:dyDescent="0.3">
      <c r="C65" s="20">
        <v>56</v>
      </c>
      <c r="D65" s="61" t="s">
        <v>912</v>
      </c>
      <c r="F65" s="24" t="s">
        <v>13</v>
      </c>
      <c r="G65" s="3"/>
      <c r="H65" s="3"/>
      <c r="I65" s="3"/>
    </row>
    <row r="66" spans="3:9" ht="15.7" customHeight="1" x14ac:dyDescent="0.3">
      <c r="C66" s="20">
        <v>57</v>
      </c>
      <c r="D66" s="61" t="s">
        <v>913</v>
      </c>
      <c r="F66" s="24" t="s">
        <v>13</v>
      </c>
      <c r="G66" s="3"/>
      <c r="H66" s="3"/>
      <c r="I66" s="3"/>
    </row>
    <row r="67" spans="3:9" ht="15.7" customHeight="1" x14ac:dyDescent="0.3">
      <c r="C67" s="20">
        <v>58</v>
      </c>
      <c r="D67" s="61" t="s">
        <v>914</v>
      </c>
      <c r="F67" s="24" t="s">
        <v>13</v>
      </c>
      <c r="G67" s="3"/>
      <c r="H67" s="3"/>
      <c r="I67" s="3"/>
    </row>
    <row r="68" spans="3:9" ht="15.7" customHeight="1" x14ac:dyDescent="0.3">
      <c r="C68" s="20">
        <v>59</v>
      </c>
      <c r="D68" s="61" t="s">
        <v>915</v>
      </c>
      <c r="F68" s="24" t="s">
        <v>13</v>
      </c>
      <c r="G68" s="3"/>
      <c r="H68" s="3"/>
      <c r="I68" s="3"/>
    </row>
    <row r="69" spans="3:9" ht="15.7" customHeight="1" x14ac:dyDescent="0.3">
      <c r="C69" s="20">
        <v>60</v>
      </c>
      <c r="D69" s="61" t="s">
        <v>916</v>
      </c>
      <c r="F69" s="24" t="s">
        <v>13</v>
      </c>
      <c r="G69" s="3"/>
      <c r="H69" s="3"/>
      <c r="I69" s="3"/>
    </row>
    <row r="70" spans="3:9" ht="15.7" customHeight="1" x14ac:dyDescent="0.3">
      <c r="C70" s="20">
        <v>61</v>
      </c>
      <c r="D70" s="61" t="s">
        <v>917</v>
      </c>
      <c r="F70" s="24" t="s">
        <v>13</v>
      </c>
      <c r="G70" s="3"/>
      <c r="H70" s="3"/>
      <c r="I70" s="3"/>
    </row>
    <row r="71" spans="3:9" ht="15.7" customHeight="1" x14ac:dyDescent="0.3">
      <c r="C71" s="20">
        <v>62</v>
      </c>
      <c r="D71" s="61" t="s">
        <v>918</v>
      </c>
      <c r="F71" s="24" t="s">
        <v>13</v>
      </c>
      <c r="G71" s="3"/>
      <c r="H71" s="3"/>
      <c r="I71" s="3"/>
    </row>
    <row r="72" spans="3:9" ht="15.7" customHeight="1" x14ac:dyDescent="0.3">
      <c r="C72" s="20">
        <v>63</v>
      </c>
      <c r="D72" s="61" t="s">
        <v>919</v>
      </c>
      <c r="F72" s="24" t="s">
        <v>13</v>
      </c>
      <c r="G72" s="3"/>
      <c r="H72" s="3"/>
      <c r="I72" s="3"/>
    </row>
    <row r="73" spans="3:9" ht="15.7" customHeight="1" x14ac:dyDescent="0.3">
      <c r="C73" s="20">
        <v>64</v>
      </c>
      <c r="D73" s="61" t="s">
        <v>920</v>
      </c>
      <c r="F73" s="24" t="s">
        <v>13</v>
      </c>
      <c r="G73" s="3"/>
      <c r="H73" s="3"/>
      <c r="I73" s="3"/>
    </row>
    <row r="74" spans="3:9" ht="15.7" customHeight="1" x14ac:dyDescent="0.3">
      <c r="C74" s="20">
        <v>65</v>
      </c>
      <c r="D74" s="61" t="s">
        <v>921</v>
      </c>
      <c r="F74" s="24" t="s">
        <v>13</v>
      </c>
      <c r="G74" s="3"/>
      <c r="H74" s="3"/>
      <c r="I74" s="3"/>
    </row>
    <row r="75" spans="3:9" ht="15.7" customHeight="1" x14ac:dyDescent="0.3">
      <c r="C75" s="20">
        <v>66</v>
      </c>
      <c r="D75" s="61" t="s">
        <v>922</v>
      </c>
      <c r="F75" s="24" t="s">
        <v>13</v>
      </c>
      <c r="G75" s="3"/>
      <c r="H75" s="3"/>
      <c r="I75" s="3"/>
    </row>
    <row r="76" spans="3:9" ht="15.7" customHeight="1" x14ac:dyDescent="0.3">
      <c r="C76" s="20">
        <v>67</v>
      </c>
      <c r="D76" s="61" t="s">
        <v>923</v>
      </c>
      <c r="F76" s="24" t="s">
        <v>13</v>
      </c>
      <c r="G76" s="3"/>
      <c r="H76" s="3"/>
      <c r="I76" s="3"/>
    </row>
    <row r="77" spans="3:9" ht="15.7" customHeight="1" x14ac:dyDescent="0.3">
      <c r="C77" s="20">
        <v>68</v>
      </c>
      <c r="D77" s="61" t="s">
        <v>924</v>
      </c>
      <c r="F77" s="24" t="s">
        <v>13</v>
      </c>
      <c r="G77" s="3"/>
      <c r="H77" s="3"/>
      <c r="I77" s="3"/>
    </row>
    <row r="78" spans="3:9" ht="15.7" customHeight="1" x14ac:dyDescent="0.3">
      <c r="C78" s="20">
        <v>69</v>
      </c>
      <c r="D78" s="61" t="s">
        <v>925</v>
      </c>
      <c r="F78" s="24" t="s">
        <v>13</v>
      </c>
      <c r="G78" s="3"/>
      <c r="H78" s="3"/>
      <c r="I78" s="3"/>
    </row>
    <row r="79" spans="3:9" ht="15.7" customHeight="1" x14ac:dyDescent="0.3">
      <c r="C79" s="20">
        <v>70</v>
      </c>
      <c r="D79" s="61" t="s">
        <v>926</v>
      </c>
      <c r="F79" s="24" t="s">
        <v>13</v>
      </c>
      <c r="G79" s="3"/>
      <c r="H79" s="3"/>
      <c r="I79" s="3"/>
    </row>
    <row r="80" spans="3:9" ht="15.7" customHeight="1" x14ac:dyDescent="0.3">
      <c r="C80" s="20">
        <v>71</v>
      </c>
      <c r="D80" s="61" t="s">
        <v>927</v>
      </c>
      <c r="F80" s="24" t="s">
        <v>13</v>
      </c>
      <c r="G80" s="3"/>
      <c r="H80" s="3"/>
      <c r="I80" s="3"/>
    </row>
    <row r="81" spans="3:9" ht="15.7" customHeight="1" x14ac:dyDescent="0.3">
      <c r="C81" s="20">
        <v>72</v>
      </c>
      <c r="D81" s="61" t="s">
        <v>928</v>
      </c>
      <c r="F81" s="24" t="s">
        <v>13</v>
      </c>
      <c r="G81" s="3"/>
      <c r="H81" s="3"/>
      <c r="I81" s="3"/>
    </row>
    <row r="82" spans="3:9" ht="15.7" customHeight="1" x14ac:dyDescent="0.3">
      <c r="C82" s="20">
        <v>73</v>
      </c>
      <c r="D82" s="61" t="s">
        <v>929</v>
      </c>
      <c r="F82" s="24" t="s">
        <v>13</v>
      </c>
      <c r="G82" s="3"/>
      <c r="H82" s="3"/>
      <c r="I82" s="3"/>
    </row>
    <row r="83" spans="3:9" ht="15.7" customHeight="1" x14ac:dyDescent="0.3">
      <c r="C83" s="20">
        <v>74</v>
      </c>
      <c r="D83" s="61" t="s">
        <v>930</v>
      </c>
      <c r="F83" s="24" t="s">
        <v>13</v>
      </c>
      <c r="G83" s="3"/>
      <c r="H83" s="3"/>
      <c r="I83" s="3"/>
    </row>
    <row r="84" spans="3:9" ht="15.7" customHeight="1" x14ac:dyDescent="0.3">
      <c r="C84" s="20">
        <v>75</v>
      </c>
      <c r="D84" s="61" t="s">
        <v>931</v>
      </c>
      <c r="F84" s="24" t="s">
        <v>13</v>
      </c>
      <c r="G84" s="3"/>
      <c r="H84" s="3"/>
      <c r="I84" s="3"/>
    </row>
    <row r="85" spans="3:9" ht="15.7" customHeight="1" x14ac:dyDescent="0.3">
      <c r="C85" s="20">
        <v>76</v>
      </c>
      <c r="D85" s="61" t="s">
        <v>932</v>
      </c>
      <c r="F85" s="24" t="s">
        <v>13</v>
      </c>
      <c r="G85" s="3"/>
      <c r="H85" s="3"/>
      <c r="I85" s="3"/>
    </row>
    <row r="86" spans="3:9" ht="15.7" customHeight="1" x14ac:dyDescent="0.3">
      <c r="C86" s="20">
        <v>77</v>
      </c>
      <c r="D86" s="61" t="s">
        <v>933</v>
      </c>
      <c r="F86" s="24" t="s">
        <v>13</v>
      </c>
      <c r="G86" s="3"/>
      <c r="H86" s="3"/>
      <c r="I86" s="3"/>
    </row>
    <row r="87" spans="3:9" ht="15.7" customHeight="1" x14ac:dyDescent="0.3">
      <c r="C87" s="20">
        <v>78</v>
      </c>
      <c r="D87" s="61" t="s">
        <v>934</v>
      </c>
      <c r="F87" s="24" t="s">
        <v>13</v>
      </c>
      <c r="G87" s="3"/>
      <c r="H87" s="3"/>
      <c r="I87" s="3"/>
    </row>
    <row r="88" spans="3:9" ht="15.7" customHeight="1" x14ac:dyDescent="0.3">
      <c r="C88" s="20">
        <v>79</v>
      </c>
      <c r="D88" s="61" t="s">
        <v>935</v>
      </c>
      <c r="F88" s="24" t="s">
        <v>13</v>
      </c>
      <c r="G88" s="3"/>
      <c r="H88" s="3"/>
      <c r="I88" s="3"/>
    </row>
    <row r="89" spans="3:9" ht="15.7" customHeight="1" x14ac:dyDescent="0.3">
      <c r="C89" s="20">
        <v>80</v>
      </c>
      <c r="D89" s="61" t="s">
        <v>936</v>
      </c>
      <c r="F89" s="24" t="s">
        <v>13</v>
      </c>
      <c r="G89" s="3"/>
      <c r="H89" s="3"/>
      <c r="I89" s="3"/>
    </row>
    <row r="90" spans="3:9" ht="15.7" customHeight="1" x14ac:dyDescent="0.3">
      <c r="C90" s="20">
        <v>81</v>
      </c>
      <c r="D90" s="61" t="s">
        <v>937</v>
      </c>
      <c r="F90" s="24" t="s">
        <v>13</v>
      </c>
      <c r="G90" s="3"/>
      <c r="H90" s="3"/>
      <c r="I90" s="3"/>
    </row>
    <row r="91" spans="3:9" ht="15.7" customHeight="1" x14ac:dyDescent="0.3">
      <c r="C91" s="20">
        <v>82</v>
      </c>
      <c r="D91" s="61" t="s">
        <v>938</v>
      </c>
      <c r="F91" s="24" t="s">
        <v>13</v>
      </c>
      <c r="G91" s="3"/>
      <c r="H91" s="3"/>
      <c r="I91" s="3"/>
    </row>
    <row r="92" spans="3:9" ht="15.7" customHeight="1" x14ac:dyDescent="0.3">
      <c r="C92" s="20">
        <v>83</v>
      </c>
      <c r="D92" s="61" t="s">
        <v>939</v>
      </c>
      <c r="F92" s="24" t="s">
        <v>13</v>
      </c>
      <c r="G92" s="3"/>
      <c r="H92" s="3"/>
      <c r="I92" s="3"/>
    </row>
    <row r="93" spans="3:9" ht="15.7" customHeight="1" x14ac:dyDescent="0.3">
      <c r="C93" s="20">
        <v>84</v>
      </c>
      <c r="D93" s="61" t="s">
        <v>940</v>
      </c>
      <c r="F93" s="24" t="s">
        <v>13</v>
      </c>
      <c r="G93" s="3"/>
      <c r="H93" s="3"/>
      <c r="I93" s="3"/>
    </row>
    <row r="94" spans="3:9" ht="15.7" customHeight="1" x14ac:dyDescent="0.3">
      <c r="C94" s="20">
        <v>85</v>
      </c>
      <c r="D94" s="61" t="s">
        <v>941</v>
      </c>
      <c r="F94" s="24" t="s">
        <v>13</v>
      </c>
      <c r="G94" s="3"/>
      <c r="H94" s="3"/>
      <c r="I94" s="3"/>
    </row>
    <row r="95" spans="3:9" ht="15.7" customHeight="1" x14ac:dyDescent="0.3">
      <c r="C95" s="20">
        <v>86</v>
      </c>
      <c r="D95" s="61" t="s">
        <v>942</v>
      </c>
      <c r="F95" s="24" t="s">
        <v>13</v>
      </c>
      <c r="G95" s="3"/>
      <c r="H95" s="3"/>
      <c r="I95" s="3"/>
    </row>
    <row r="96" spans="3:9" ht="15.7" customHeight="1" x14ac:dyDescent="0.3">
      <c r="C96" s="20">
        <v>87</v>
      </c>
      <c r="D96" s="61" t="s">
        <v>943</v>
      </c>
      <c r="F96" s="24" t="s">
        <v>13</v>
      </c>
      <c r="G96" s="3"/>
      <c r="H96" s="3"/>
      <c r="I96" s="3"/>
    </row>
    <row r="97" spans="3:9" ht="15.7" customHeight="1" x14ac:dyDescent="0.3">
      <c r="C97" s="20">
        <v>88</v>
      </c>
      <c r="D97" s="61" t="s">
        <v>944</v>
      </c>
      <c r="F97" s="24" t="s">
        <v>13</v>
      </c>
      <c r="G97" s="3"/>
      <c r="H97" s="3"/>
      <c r="I97" s="3"/>
    </row>
    <row r="98" spans="3:9" ht="15.7" customHeight="1" x14ac:dyDescent="0.3">
      <c r="C98" s="20">
        <v>89</v>
      </c>
      <c r="D98" s="61" t="s">
        <v>945</v>
      </c>
      <c r="F98" s="24" t="s">
        <v>13</v>
      </c>
      <c r="G98" s="3"/>
      <c r="H98" s="3"/>
      <c r="I98" s="3"/>
    </row>
    <row r="99" spans="3:9" ht="15.7" customHeight="1" x14ac:dyDescent="0.3">
      <c r="C99" s="20">
        <v>90</v>
      </c>
      <c r="D99" s="61" t="s">
        <v>946</v>
      </c>
      <c r="F99" s="24" t="s">
        <v>13</v>
      </c>
      <c r="G99" s="3"/>
      <c r="H99" s="3"/>
      <c r="I99" s="3"/>
    </row>
    <row r="100" spans="3:9" ht="15.7" customHeight="1" x14ac:dyDescent="0.3">
      <c r="C100" s="20">
        <v>91</v>
      </c>
      <c r="D100" s="61" t="s">
        <v>947</v>
      </c>
      <c r="F100" s="24" t="s">
        <v>13</v>
      </c>
      <c r="G100" s="3"/>
      <c r="H100" s="3"/>
      <c r="I100" s="3"/>
    </row>
    <row r="101" spans="3:9" ht="15.7" customHeight="1" x14ac:dyDescent="0.3">
      <c r="C101" s="20">
        <v>92</v>
      </c>
      <c r="D101" s="61" t="s">
        <v>948</v>
      </c>
      <c r="F101" s="24" t="s">
        <v>13</v>
      </c>
      <c r="G101" s="3"/>
      <c r="H101" s="3"/>
      <c r="I101" s="3"/>
    </row>
    <row r="102" spans="3:9" ht="15.7" customHeight="1" x14ac:dyDescent="0.3">
      <c r="C102" s="20">
        <v>93</v>
      </c>
      <c r="D102" s="61" t="s">
        <v>949</v>
      </c>
      <c r="F102" s="24" t="s">
        <v>13</v>
      </c>
      <c r="G102" s="3"/>
      <c r="H102" s="3"/>
      <c r="I102" s="3"/>
    </row>
    <row r="103" spans="3:9" ht="15.7" customHeight="1" x14ac:dyDescent="0.3">
      <c r="C103" s="20">
        <v>94</v>
      </c>
      <c r="D103" s="61" t="s">
        <v>950</v>
      </c>
      <c r="F103" s="24" t="s">
        <v>13</v>
      </c>
      <c r="G103" s="3"/>
      <c r="H103" s="3"/>
      <c r="I103" s="3"/>
    </row>
    <row r="104" spans="3:9" ht="15.7" customHeight="1" x14ac:dyDescent="0.3">
      <c r="C104" s="20">
        <v>95</v>
      </c>
      <c r="D104" s="61" t="s">
        <v>951</v>
      </c>
      <c r="F104" s="24" t="s">
        <v>13</v>
      </c>
      <c r="G104" s="3"/>
      <c r="H104" s="3"/>
      <c r="I104" s="3"/>
    </row>
    <row r="105" spans="3:9" ht="15.7" customHeight="1" x14ac:dyDescent="0.3">
      <c r="C105" s="20">
        <v>96</v>
      </c>
      <c r="D105" s="61" t="s">
        <v>952</v>
      </c>
      <c r="F105" s="24" t="s">
        <v>13</v>
      </c>
      <c r="G105" s="3"/>
      <c r="H105" s="3"/>
      <c r="I105" s="3"/>
    </row>
    <row r="106" spans="3:9" ht="15.7" customHeight="1" x14ac:dyDescent="0.3">
      <c r="C106" s="20">
        <v>97</v>
      </c>
      <c r="D106" s="61" t="s">
        <v>953</v>
      </c>
      <c r="F106" s="24" t="s">
        <v>13</v>
      </c>
      <c r="G106" s="3"/>
      <c r="H106" s="3"/>
      <c r="I106" s="3"/>
    </row>
    <row r="107" spans="3:9" ht="15.7" customHeight="1" x14ac:dyDescent="0.3">
      <c r="C107" s="20">
        <v>98</v>
      </c>
      <c r="D107" s="61" t="s">
        <v>954</v>
      </c>
      <c r="F107" s="24" t="s">
        <v>13</v>
      </c>
      <c r="G107" s="3"/>
      <c r="H107" s="3"/>
      <c r="I107" s="3"/>
    </row>
    <row r="108" spans="3:9" ht="15.7" customHeight="1" x14ac:dyDescent="0.3">
      <c r="C108" s="20">
        <v>99</v>
      </c>
      <c r="D108" s="61" t="s">
        <v>955</v>
      </c>
      <c r="F108" s="24" t="s">
        <v>13</v>
      </c>
      <c r="G108" s="3"/>
      <c r="H108" s="3"/>
      <c r="I108" s="3"/>
    </row>
    <row r="109" spans="3:9" ht="15.7" customHeight="1" x14ac:dyDescent="0.3">
      <c r="C109" s="20">
        <v>100</v>
      </c>
      <c r="D109" s="61" t="s">
        <v>956</v>
      </c>
      <c r="F109" s="24" t="s">
        <v>13</v>
      </c>
      <c r="G109" s="3"/>
      <c r="H109" s="3"/>
      <c r="I109" s="3"/>
    </row>
    <row r="110" spans="3:9" ht="15.7" customHeight="1" x14ac:dyDescent="0.3">
      <c r="C110" s="20">
        <v>101</v>
      </c>
      <c r="D110" s="61" t="s">
        <v>957</v>
      </c>
      <c r="F110" s="24" t="s">
        <v>13</v>
      </c>
      <c r="G110" s="3"/>
      <c r="H110" s="3"/>
      <c r="I110" s="3"/>
    </row>
    <row r="111" spans="3:9" ht="15.7" customHeight="1" x14ac:dyDescent="0.3">
      <c r="C111" s="20">
        <v>102</v>
      </c>
      <c r="D111" s="61" t="s">
        <v>958</v>
      </c>
      <c r="F111" s="24" t="s">
        <v>13</v>
      </c>
      <c r="G111" s="3"/>
      <c r="H111" s="3"/>
      <c r="I111" s="3"/>
    </row>
    <row r="112" spans="3:9" ht="15.7" customHeight="1" x14ac:dyDescent="0.3">
      <c r="C112" s="20">
        <v>103</v>
      </c>
      <c r="D112" s="61" t="s">
        <v>959</v>
      </c>
      <c r="F112" s="24" t="s">
        <v>13</v>
      </c>
      <c r="G112" s="3"/>
      <c r="H112" s="3"/>
      <c r="I112" s="3"/>
    </row>
    <row r="113" spans="3:9" ht="15.7" customHeight="1" x14ac:dyDescent="0.3">
      <c r="C113" s="20">
        <v>104</v>
      </c>
      <c r="D113" s="61" t="s">
        <v>960</v>
      </c>
      <c r="F113" s="24" t="s">
        <v>13</v>
      </c>
      <c r="G113" s="3"/>
      <c r="H113" s="3"/>
      <c r="I113" s="3"/>
    </row>
    <row r="114" spans="3:9" ht="15.7" customHeight="1" x14ac:dyDescent="0.3">
      <c r="C114" s="20">
        <v>105</v>
      </c>
      <c r="D114" s="61" t="s">
        <v>961</v>
      </c>
      <c r="F114" s="24" t="s">
        <v>13</v>
      </c>
      <c r="G114" s="3"/>
      <c r="H114" s="3"/>
      <c r="I114" s="3"/>
    </row>
    <row r="115" spans="3:9" ht="15.7" customHeight="1" x14ac:dyDescent="0.3"/>
    <row r="116" spans="3:9" ht="15.7" customHeight="1" x14ac:dyDescent="0.3">
      <c r="C116" s="88" t="s">
        <v>14</v>
      </c>
      <c r="D116" s="70"/>
      <c r="F116" s="6" t="s">
        <v>1</v>
      </c>
      <c r="G116" s="6" t="s">
        <v>3</v>
      </c>
      <c r="H116" s="6" t="s">
        <v>5</v>
      </c>
      <c r="I116" s="6" t="s">
        <v>10</v>
      </c>
    </row>
    <row r="117" spans="3:9" ht="15.7" customHeight="1" x14ac:dyDescent="0.3">
      <c r="C117" s="36">
        <v>1</v>
      </c>
      <c r="D117" s="61" t="s">
        <v>962</v>
      </c>
      <c r="E117" s="35"/>
      <c r="F117" s="24" t="s">
        <v>13</v>
      </c>
      <c r="G117" s="3"/>
      <c r="H117" s="3"/>
      <c r="I117" s="3"/>
    </row>
    <row r="118" spans="3:9" ht="15.7" customHeight="1" x14ac:dyDescent="0.3">
      <c r="C118" s="34">
        <v>2</v>
      </c>
      <c r="D118" s="61" t="s">
        <v>963</v>
      </c>
      <c r="E118" s="35"/>
      <c r="F118" s="24" t="s">
        <v>13</v>
      </c>
      <c r="G118" s="3"/>
      <c r="H118" s="3"/>
      <c r="I118" s="3"/>
    </row>
    <row r="119" spans="3:9" ht="15.7" customHeight="1" x14ac:dyDescent="0.3">
      <c r="C119" s="36">
        <v>3</v>
      </c>
      <c r="D119" s="61" t="s">
        <v>964</v>
      </c>
      <c r="E119" s="35"/>
      <c r="F119" s="24" t="s">
        <v>13</v>
      </c>
      <c r="G119" s="3"/>
      <c r="H119" s="3"/>
      <c r="I119" s="3"/>
    </row>
    <row r="120" spans="3:9" ht="15.7" customHeight="1" x14ac:dyDescent="0.3">
      <c r="C120" s="34">
        <v>4</v>
      </c>
      <c r="D120" s="61" t="s">
        <v>965</v>
      </c>
      <c r="E120" s="35"/>
      <c r="F120" s="24" t="s">
        <v>13</v>
      </c>
      <c r="G120" s="3"/>
      <c r="H120" s="3"/>
      <c r="I120" s="3"/>
    </row>
    <row r="121" spans="3:9" ht="15.7" customHeight="1" x14ac:dyDescent="0.3">
      <c r="C121" s="36">
        <v>5</v>
      </c>
      <c r="D121" s="61" t="s">
        <v>966</v>
      </c>
      <c r="E121" s="35"/>
      <c r="F121" s="24" t="s">
        <v>13</v>
      </c>
      <c r="G121" s="3"/>
      <c r="H121" s="3"/>
      <c r="I121" s="3"/>
    </row>
    <row r="122" spans="3:9" ht="15.7" customHeight="1" x14ac:dyDescent="0.3">
      <c r="C122" s="34">
        <v>6</v>
      </c>
      <c r="D122" s="61" t="s">
        <v>967</v>
      </c>
      <c r="E122" s="35"/>
      <c r="F122" s="24" t="s">
        <v>13</v>
      </c>
      <c r="G122" s="3"/>
      <c r="H122" s="3"/>
      <c r="I122" s="3"/>
    </row>
    <row r="123" spans="3:9" ht="15.7" customHeight="1" x14ac:dyDescent="0.3">
      <c r="C123" s="36">
        <v>7</v>
      </c>
      <c r="D123" s="61" t="s">
        <v>968</v>
      </c>
      <c r="E123" s="35"/>
      <c r="F123" s="24" t="s">
        <v>13</v>
      </c>
      <c r="G123" s="3"/>
      <c r="H123" s="3"/>
      <c r="I123" s="3"/>
    </row>
    <row r="124" spans="3:9" ht="15.7" customHeight="1" x14ac:dyDescent="0.3">
      <c r="C124" s="34">
        <v>8</v>
      </c>
      <c r="D124" s="61" t="s">
        <v>969</v>
      </c>
      <c r="E124" s="35"/>
      <c r="F124" s="24" t="s">
        <v>13</v>
      </c>
      <c r="G124" s="3"/>
      <c r="H124" s="3"/>
      <c r="I124" s="3"/>
    </row>
    <row r="125" spans="3:9" ht="15.7" customHeight="1" x14ac:dyDescent="0.3">
      <c r="C125" s="36">
        <v>9</v>
      </c>
      <c r="D125" s="61" t="s">
        <v>970</v>
      </c>
      <c r="E125" s="35"/>
      <c r="F125" s="24" t="s">
        <v>13</v>
      </c>
      <c r="G125" s="3"/>
      <c r="H125" s="3"/>
      <c r="I125" s="3"/>
    </row>
    <row r="126" spans="3:9" ht="15.7" customHeight="1" x14ac:dyDescent="0.3">
      <c r="C126" s="34">
        <v>10</v>
      </c>
      <c r="D126" s="61" t="s">
        <v>971</v>
      </c>
      <c r="E126" s="35"/>
      <c r="F126" s="24" t="s">
        <v>13</v>
      </c>
      <c r="G126" s="3"/>
      <c r="H126" s="3"/>
      <c r="I126" s="3"/>
    </row>
    <row r="127" spans="3:9" ht="15.7" customHeight="1" x14ac:dyDescent="0.3">
      <c r="C127" s="36">
        <v>11</v>
      </c>
      <c r="D127" s="61" t="s">
        <v>972</v>
      </c>
      <c r="E127" s="35"/>
      <c r="F127" s="24" t="s">
        <v>13</v>
      </c>
      <c r="G127" s="3"/>
      <c r="H127" s="3"/>
      <c r="I127" s="3"/>
    </row>
    <row r="128" spans="3:9" ht="15.7" customHeight="1" x14ac:dyDescent="0.3">
      <c r="C128" s="34">
        <v>12</v>
      </c>
      <c r="D128" s="61" t="s">
        <v>973</v>
      </c>
      <c r="E128" s="35"/>
      <c r="F128" s="24" t="s">
        <v>13</v>
      </c>
      <c r="G128" s="3"/>
      <c r="H128" s="3"/>
      <c r="I128" s="3"/>
    </row>
    <row r="129" spans="3:9" ht="15.7" customHeight="1" x14ac:dyDescent="0.3">
      <c r="C129" s="36">
        <v>13</v>
      </c>
      <c r="D129" s="61" t="s">
        <v>974</v>
      </c>
      <c r="E129" s="35"/>
      <c r="F129" s="24" t="s">
        <v>13</v>
      </c>
      <c r="G129" s="3"/>
      <c r="H129" s="3"/>
      <c r="I129" s="3"/>
    </row>
    <row r="130" spans="3:9" ht="15.7" customHeight="1" x14ac:dyDescent="0.3">
      <c r="C130" s="34">
        <v>14</v>
      </c>
      <c r="D130" s="61" t="s">
        <v>975</v>
      </c>
      <c r="E130" s="35"/>
      <c r="F130" s="24" t="s">
        <v>13</v>
      </c>
      <c r="G130" s="3"/>
      <c r="H130" s="3"/>
      <c r="I130" s="3"/>
    </row>
    <row r="131" spans="3:9" ht="15.7" customHeight="1" x14ac:dyDescent="0.3">
      <c r="C131" s="36">
        <v>15</v>
      </c>
      <c r="D131" s="61" t="s">
        <v>976</v>
      </c>
      <c r="E131" s="35"/>
      <c r="F131" s="24" t="s">
        <v>13</v>
      </c>
      <c r="G131" s="3"/>
      <c r="H131" s="3"/>
      <c r="I131" s="3"/>
    </row>
    <row r="132" spans="3:9" ht="15.7" customHeight="1" x14ac:dyDescent="0.3">
      <c r="C132" s="34">
        <v>16</v>
      </c>
      <c r="D132" s="61" t="s">
        <v>977</v>
      </c>
      <c r="E132" s="35"/>
      <c r="F132" s="24" t="s">
        <v>13</v>
      </c>
      <c r="G132" s="3"/>
      <c r="H132" s="3"/>
      <c r="I132" s="3"/>
    </row>
    <row r="133" spans="3:9" ht="15.7" customHeight="1" x14ac:dyDescent="0.3">
      <c r="C133" s="36">
        <v>17</v>
      </c>
      <c r="D133" s="61" t="s">
        <v>978</v>
      </c>
      <c r="E133" s="35"/>
      <c r="F133" s="24" t="s">
        <v>13</v>
      </c>
      <c r="G133" s="3"/>
      <c r="H133" s="3"/>
      <c r="I133" s="3"/>
    </row>
    <row r="134" spans="3:9" ht="15.7" customHeight="1" x14ac:dyDescent="0.3">
      <c r="C134" s="34">
        <v>18</v>
      </c>
      <c r="D134" s="61" t="s">
        <v>979</v>
      </c>
      <c r="E134" s="35"/>
      <c r="F134" s="24" t="s">
        <v>13</v>
      </c>
      <c r="G134" s="3"/>
      <c r="H134" s="3"/>
      <c r="I134" s="3"/>
    </row>
    <row r="135" spans="3:9" ht="15.7" customHeight="1" x14ac:dyDescent="0.3">
      <c r="C135" s="36">
        <v>19</v>
      </c>
      <c r="D135" s="61" t="s">
        <v>980</v>
      </c>
      <c r="E135" s="35"/>
      <c r="F135" s="24" t="s">
        <v>13</v>
      </c>
      <c r="G135" s="3"/>
      <c r="H135" s="3"/>
      <c r="I135" s="3"/>
    </row>
    <row r="136" spans="3:9" ht="15.7" customHeight="1" x14ac:dyDescent="0.3">
      <c r="C136" s="34">
        <v>20</v>
      </c>
      <c r="D136" s="61" t="s">
        <v>981</v>
      </c>
      <c r="E136" s="35"/>
      <c r="F136" s="24" t="s">
        <v>13</v>
      </c>
      <c r="G136" s="3"/>
      <c r="H136" s="3"/>
      <c r="I136" s="3"/>
    </row>
    <row r="137" spans="3:9" ht="15.7" customHeight="1" x14ac:dyDescent="0.3">
      <c r="C137" s="36">
        <v>21</v>
      </c>
      <c r="D137" s="61" t="s">
        <v>982</v>
      </c>
      <c r="E137" s="35"/>
      <c r="F137" s="24" t="s">
        <v>13</v>
      </c>
      <c r="G137" s="3"/>
      <c r="H137" s="3"/>
      <c r="I137" s="3"/>
    </row>
    <row r="138" spans="3:9" ht="15.7" customHeight="1" x14ac:dyDescent="0.3">
      <c r="C138" s="34">
        <v>22</v>
      </c>
      <c r="D138" s="61" t="s">
        <v>983</v>
      </c>
      <c r="E138" s="35"/>
      <c r="F138" s="24" t="s">
        <v>13</v>
      </c>
      <c r="G138" s="3"/>
      <c r="H138" s="3"/>
      <c r="I138" s="3"/>
    </row>
    <row r="139" spans="3:9" ht="15.7" customHeight="1" x14ac:dyDescent="0.3">
      <c r="C139" s="36">
        <v>23</v>
      </c>
      <c r="D139" s="61" t="s">
        <v>984</v>
      </c>
      <c r="E139" s="35"/>
      <c r="F139" s="24" t="s">
        <v>13</v>
      </c>
      <c r="G139" s="3"/>
      <c r="H139" s="3"/>
      <c r="I139" s="3"/>
    </row>
    <row r="140" spans="3:9" ht="15.7" customHeight="1" x14ac:dyDescent="0.3">
      <c r="C140" s="34">
        <v>24</v>
      </c>
      <c r="D140" s="61" t="s">
        <v>985</v>
      </c>
      <c r="E140" s="35"/>
      <c r="F140" s="24" t="s">
        <v>13</v>
      </c>
      <c r="G140" s="3"/>
      <c r="H140" s="3"/>
      <c r="I140" s="3"/>
    </row>
    <row r="141" spans="3:9" ht="15.7" customHeight="1" x14ac:dyDescent="0.3">
      <c r="C141" s="36">
        <v>25</v>
      </c>
      <c r="D141" s="61" t="s">
        <v>986</v>
      </c>
      <c r="E141" s="35"/>
      <c r="F141" s="24" t="s">
        <v>13</v>
      </c>
      <c r="G141" s="3"/>
      <c r="H141" s="3"/>
      <c r="I141" s="3"/>
    </row>
    <row r="142" spans="3:9" ht="15.7" customHeight="1" x14ac:dyDescent="0.3">
      <c r="C142" s="34">
        <v>26</v>
      </c>
      <c r="D142" s="61" t="s">
        <v>987</v>
      </c>
      <c r="E142" s="35"/>
      <c r="F142" s="24" t="s">
        <v>13</v>
      </c>
      <c r="G142" s="3"/>
      <c r="H142" s="3"/>
      <c r="I142" s="3"/>
    </row>
    <row r="143" spans="3:9" ht="15.7" customHeight="1" x14ac:dyDescent="0.3">
      <c r="C143" s="36">
        <v>27</v>
      </c>
      <c r="D143" s="61" t="s">
        <v>17</v>
      </c>
      <c r="E143" s="35"/>
      <c r="F143" s="24" t="s">
        <v>13</v>
      </c>
      <c r="G143" s="3"/>
      <c r="H143" s="3"/>
      <c r="I143" s="3"/>
    </row>
    <row r="144" spans="3:9" ht="15.7" customHeight="1" x14ac:dyDescent="0.3">
      <c r="C144" s="34">
        <v>28</v>
      </c>
      <c r="D144" s="61" t="s">
        <v>988</v>
      </c>
      <c r="E144" s="35"/>
      <c r="F144" s="24" t="s">
        <v>13</v>
      </c>
      <c r="G144" s="3"/>
      <c r="H144" s="3"/>
      <c r="I144" s="3"/>
    </row>
    <row r="145" spans="3:9" ht="15.7" customHeight="1" x14ac:dyDescent="0.3">
      <c r="C145" s="36">
        <v>29</v>
      </c>
      <c r="D145" s="61" t="s">
        <v>989</v>
      </c>
      <c r="E145" s="35"/>
      <c r="F145" s="24" t="s">
        <v>13</v>
      </c>
      <c r="G145" s="3"/>
      <c r="H145" s="3"/>
      <c r="I145" s="3"/>
    </row>
    <row r="146" spans="3:9" ht="15.7" customHeight="1" x14ac:dyDescent="0.3">
      <c r="C146" s="34">
        <v>30</v>
      </c>
      <c r="D146" s="61" t="s">
        <v>990</v>
      </c>
      <c r="E146" s="35"/>
      <c r="F146" s="24" t="s">
        <v>13</v>
      </c>
      <c r="G146" s="3"/>
      <c r="H146" s="3"/>
      <c r="I146" s="3"/>
    </row>
    <row r="147" spans="3:9" ht="15.7" customHeight="1" x14ac:dyDescent="0.3">
      <c r="C147" s="36">
        <v>31</v>
      </c>
      <c r="D147" s="61" t="s">
        <v>991</v>
      </c>
      <c r="E147" s="35"/>
      <c r="F147" s="24" t="s">
        <v>13</v>
      </c>
      <c r="G147" s="3"/>
      <c r="H147" s="3"/>
      <c r="I147" s="3"/>
    </row>
    <row r="148" spans="3:9" ht="15.7" customHeight="1" x14ac:dyDescent="0.3">
      <c r="C148" s="34">
        <v>32</v>
      </c>
      <c r="D148" s="61" t="s">
        <v>992</v>
      </c>
      <c r="E148" s="35"/>
      <c r="F148" s="24" t="s">
        <v>13</v>
      </c>
      <c r="G148" s="3"/>
      <c r="H148" s="3"/>
      <c r="I148" s="3"/>
    </row>
    <row r="149" spans="3:9" ht="15.7" customHeight="1" x14ac:dyDescent="0.3">
      <c r="C149" s="36">
        <v>33</v>
      </c>
      <c r="D149" s="61" t="s">
        <v>993</v>
      </c>
      <c r="E149" s="35"/>
      <c r="F149" s="24" t="s">
        <v>13</v>
      </c>
      <c r="G149" s="3"/>
      <c r="H149" s="3"/>
      <c r="I149" s="3"/>
    </row>
    <row r="150" spans="3:9" ht="15.7" customHeight="1" x14ac:dyDescent="0.3">
      <c r="C150" s="34">
        <v>34</v>
      </c>
      <c r="D150" s="61" t="s">
        <v>994</v>
      </c>
      <c r="E150" s="35"/>
      <c r="F150" s="24" t="s">
        <v>13</v>
      </c>
      <c r="G150" s="3"/>
      <c r="H150" s="3"/>
      <c r="I150" s="3"/>
    </row>
    <row r="151" spans="3:9" ht="15.7" customHeight="1" x14ac:dyDescent="0.3">
      <c r="C151" s="36">
        <v>35</v>
      </c>
      <c r="D151" s="61" t="s">
        <v>995</v>
      </c>
      <c r="E151" s="35"/>
      <c r="F151" s="24" t="s">
        <v>13</v>
      </c>
      <c r="G151" s="3"/>
      <c r="H151" s="3"/>
      <c r="I151" s="3"/>
    </row>
    <row r="152" spans="3:9" ht="15.7" customHeight="1" x14ac:dyDescent="0.3">
      <c r="C152" s="34">
        <v>36</v>
      </c>
      <c r="D152" s="61" t="s">
        <v>996</v>
      </c>
      <c r="E152" s="35"/>
      <c r="F152" s="24" t="s">
        <v>13</v>
      </c>
      <c r="G152" s="3"/>
      <c r="H152" s="3"/>
      <c r="I152" s="3"/>
    </row>
    <row r="153" spans="3:9" ht="15" customHeight="1" x14ac:dyDescent="0.3">
      <c r="C153" s="36">
        <v>37</v>
      </c>
      <c r="D153" s="61" t="s">
        <v>997</v>
      </c>
      <c r="E153" s="35"/>
      <c r="F153" s="24" t="s">
        <v>13</v>
      </c>
      <c r="G153" s="3"/>
      <c r="H153" s="3"/>
      <c r="I153" s="3"/>
    </row>
    <row r="154" spans="3:9" ht="15.7" customHeight="1" x14ac:dyDescent="0.3">
      <c r="C154" s="34">
        <v>38</v>
      </c>
      <c r="D154" s="61" t="s">
        <v>998</v>
      </c>
      <c r="E154" s="35"/>
      <c r="F154" s="24" t="s">
        <v>13</v>
      </c>
      <c r="G154" s="3"/>
      <c r="H154" s="3"/>
      <c r="I154" s="3"/>
    </row>
    <row r="155" spans="3:9" ht="15.7" customHeight="1" x14ac:dyDescent="0.3">
      <c r="C155" s="36">
        <v>39</v>
      </c>
      <c r="D155" s="61" t="s">
        <v>999</v>
      </c>
      <c r="E155" s="35"/>
      <c r="F155" s="24" t="s">
        <v>13</v>
      </c>
      <c r="G155" s="3"/>
      <c r="H155" s="3"/>
      <c r="I155" s="3"/>
    </row>
    <row r="156" spans="3:9" ht="15.7" customHeight="1" x14ac:dyDescent="0.3">
      <c r="C156" s="34">
        <v>40</v>
      </c>
      <c r="D156" s="61" t="s">
        <v>643</v>
      </c>
      <c r="E156" s="35"/>
      <c r="F156" s="24" t="s">
        <v>13</v>
      </c>
      <c r="G156" s="3"/>
      <c r="H156" s="3"/>
      <c r="I156" s="3"/>
    </row>
    <row r="157" spans="3:9" ht="15.7" customHeight="1" x14ac:dyDescent="0.3">
      <c r="C157" s="36">
        <v>41</v>
      </c>
      <c r="D157" s="61" t="s">
        <v>1000</v>
      </c>
      <c r="E157" s="35"/>
      <c r="F157" s="24" t="s">
        <v>13</v>
      </c>
      <c r="G157" s="3"/>
      <c r="H157" s="3"/>
      <c r="I157" s="3"/>
    </row>
    <row r="158" spans="3:9" ht="15.7" customHeight="1" x14ac:dyDescent="0.3">
      <c r="C158" s="34">
        <v>42</v>
      </c>
      <c r="D158" s="61" t="s">
        <v>719</v>
      </c>
      <c r="E158" s="35"/>
      <c r="F158" s="24" t="s">
        <v>13</v>
      </c>
      <c r="G158" s="3"/>
      <c r="H158" s="3"/>
      <c r="I158" s="3"/>
    </row>
    <row r="159" spans="3:9" ht="15.7" customHeight="1" x14ac:dyDescent="0.3">
      <c r="C159" s="36">
        <v>43</v>
      </c>
      <c r="D159" s="61" t="s">
        <v>1001</v>
      </c>
      <c r="E159" s="35"/>
      <c r="F159" s="24" t="s">
        <v>13</v>
      </c>
      <c r="G159" s="3"/>
      <c r="H159" s="3"/>
      <c r="I159" s="3"/>
    </row>
    <row r="160" spans="3:9" ht="15.7" customHeight="1" x14ac:dyDescent="0.3">
      <c r="C160" s="34">
        <v>44</v>
      </c>
      <c r="D160" s="61" t="s">
        <v>1002</v>
      </c>
      <c r="E160" s="35"/>
      <c r="F160" s="24" t="s">
        <v>13</v>
      </c>
      <c r="G160" s="3"/>
      <c r="H160" s="3"/>
      <c r="I160" s="3"/>
    </row>
    <row r="161" spans="3:9" ht="15.7" customHeight="1" x14ac:dyDescent="0.3">
      <c r="C161" s="36">
        <v>45</v>
      </c>
      <c r="D161" s="61" t="s">
        <v>1003</v>
      </c>
      <c r="E161" s="35"/>
      <c r="F161" s="24" t="s">
        <v>13</v>
      </c>
      <c r="G161" s="3"/>
      <c r="H161" s="3"/>
      <c r="I161" s="3"/>
    </row>
    <row r="162" spans="3:9" ht="15.7" customHeight="1" x14ac:dyDescent="0.3">
      <c r="C162" s="34">
        <v>46</v>
      </c>
      <c r="D162" s="61" t="s">
        <v>722</v>
      </c>
      <c r="E162" s="35"/>
      <c r="F162" s="24" t="s">
        <v>13</v>
      </c>
      <c r="G162" s="3"/>
      <c r="H162" s="3"/>
      <c r="I162" s="3"/>
    </row>
    <row r="163" spans="3:9" ht="15.7" customHeight="1" x14ac:dyDescent="0.3">
      <c r="C163" s="36">
        <v>47</v>
      </c>
      <c r="D163" s="61" t="s">
        <v>1004</v>
      </c>
      <c r="E163" s="35"/>
      <c r="F163" s="24" t="s">
        <v>13</v>
      </c>
      <c r="G163" s="3"/>
      <c r="H163" s="3"/>
      <c r="I163" s="3"/>
    </row>
    <row r="164" spans="3:9" ht="15.7" customHeight="1" x14ac:dyDescent="0.3">
      <c r="C164" s="34">
        <v>48</v>
      </c>
      <c r="D164" s="61" t="s">
        <v>1005</v>
      </c>
      <c r="E164" s="35"/>
      <c r="F164" s="24" t="s">
        <v>13</v>
      </c>
      <c r="G164" s="3"/>
      <c r="H164" s="3"/>
      <c r="I164" s="3"/>
    </row>
    <row r="165" spans="3:9" ht="15.7" customHeight="1" x14ac:dyDescent="0.3">
      <c r="C165" s="36">
        <v>49</v>
      </c>
      <c r="D165" s="61" t="s">
        <v>1006</v>
      </c>
      <c r="E165" s="35"/>
      <c r="F165" s="24" t="s">
        <v>13</v>
      </c>
      <c r="G165" s="3"/>
      <c r="H165" s="3"/>
      <c r="I165" s="3"/>
    </row>
    <row r="166" spans="3:9" ht="15.7" customHeight="1" x14ac:dyDescent="0.3">
      <c r="C166" s="34">
        <v>50</v>
      </c>
      <c r="D166" s="61" t="s">
        <v>1007</v>
      </c>
      <c r="E166" s="35"/>
      <c r="F166" s="24" t="s">
        <v>13</v>
      </c>
      <c r="G166" s="3"/>
      <c r="H166" s="3"/>
      <c r="I166" s="3"/>
    </row>
    <row r="167" spans="3:9" ht="15.7" customHeight="1" x14ac:dyDescent="0.3">
      <c r="C167" s="36">
        <v>51</v>
      </c>
      <c r="D167" s="61" t="s">
        <v>1008</v>
      </c>
      <c r="E167" s="35"/>
      <c r="F167" s="24" t="s">
        <v>13</v>
      </c>
      <c r="G167" s="3"/>
      <c r="H167" s="3"/>
      <c r="I167" s="3"/>
    </row>
    <row r="168" spans="3:9" ht="15.7" customHeight="1" x14ac:dyDescent="0.3">
      <c r="C168" s="34">
        <v>52</v>
      </c>
      <c r="D168" s="61" t="s">
        <v>1009</v>
      </c>
      <c r="E168" s="35"/>
      <c r="F168" s="24" t="s">
        <v>13</v>
      </c>
      <c r="G168" s="3"/>
      <c r="H168" s="3"/>
      <c r="I168" s="3"/>
    </row>
    <row r="169" spans="3:9" ht="15.7" customHeight="1" x14ac:dyDescent="0.3">
      <c r="C169" s="36">
        <v>53</v>
      </c>
      <c r="D169" s="61" t="s">
        <v>1010</v>
      </c>
      <c r="E169" s="35"/>
      <c r="F169" s="24" t="s">
        <v>13</v>
      </c>
      <c r="G169" s="3"/>
      <c r="H169" s="3"/>
      <c r="I169" s="3"/>
    </row>
    <row r="170" spans="3:9" ht="15.7" customHeight="1" x14ac:dyDescent="0.3">
      <c r="C170" s="34">
        <v>54</v>
      </c>
      <c r="D170" s="61" t="s">
        <v>1011</v>
      </c>
      <c r="E170" s="35"/>
      <c r="F170" s="24" t="s">
        <v>13</v>
      </c>
      <c r="G170" s="3"/>
      <c r="H170" s="3"/>
      <c r="I170" s="3"/>
    </row>
    <row r="171" spans="3:9" ht="15.7" customHeight="1" x14ac:dyDescent="0.3">
      <c r="C171" s="36">
        <v>55</v>
      </c>
      <c r="D171" s="61" t="s">
        <v>1012</v>
      </c>
      <c r="E171" s="35"/>
      <c r="F171" s="24" t="s">
        <v>13</v>
      </c>
      <c r="G171" s="3"/>
      <c r="H171" s="3"/>
      <c r="I171" s="3"/>
    </row>
    <row r="172" spans="3:9" ht="15.7" customHeight="1" x14ac:dyDescent="0.3">
      <c r="C172" s="34">
        <v>56</v>
      </c>
      <c r="D172" s="61" t="s">
        <v>1013</v>
      </c>
      <c r="E172" s="35"/>
      <c r="F172" s="24" t="s">
        <v>13</v>
      </c>
      <c r="G172" s="3"/>
      <c r="H172" s="3"/>
      <c r="I172" s="3"/>
    </row>
    <row r="173" spans="3:9" ht="15.7" customHeight="1" x14ac:dyDescent="0.3">
      <c r="C173" s="36">
        <v>57</v>
      </c>
      <c r="D173" s="61" t="s">
        <v>1014</v>
      </c>
      <c r="E173" s="35"/>
      <c r="F173" s="24" t="s">
        <v>13</v>
      </c>
      <c r="G173" s="3"/>
      <c r="H173" s="3"/>
      <c r="I173" s="3"/>
    </row>
    <row r="174" spans="3:9" ht="15.7" customHeight="1" x14ac:dyDescent="0.3"/>
    <row r="175" spans="3:9" ht="15.7" customHeight="1" x14ac:dyDescent="0.3"/>
    <row r="176" spans="3:9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  <row r="1066" ht="15.7" customHeight="1" x14ac:dyDescent="0.3"/>
    <row r="1067" ht="15.7" customHeight="1" x14ac:dyDescent="0.3"/>
    <row r="1068" ht="15.7" customHeight="1" x14ac:dyDescent="0.3"/>
    <row r="1069" ht="15.7" customHeight="1" x14ac:dyDescent="0.3"/>
    <row r="1070" ht="15.7" customHeight="1" x14ac:dyDescent="0.3"/>
    <row r="1071" ht="15.7" customHeight="1" x14ac:dyDescent="0.3"/>
    <row r="1072" ht="15.7" customHeight="1" x14ac:dyDescent="0.3"/>
    <row r="1073" ht="15.7" customHeight="1" x14ac:dyDescent="0.3"/>
    <row r="1074" ht="15.7" customHeight="1" x14ac:dyDescent="0.3"/>
    <row r="1075" ht="15.7" customHeight="1" x14ac:dyDescent="0.3"/>
    <row r="1076" ht="15.7" customHeight="1" x14ac:dyDescent="0.3"/>
    <row r="1077" ht="15.7" customHeight="1" x14ac:dyDescent="0.3"/>
    <row r="1078" ht="15.7" customHeight="1" x14ac:dyDescent="0.3"/>
    <row r="1079" ht="15.7" customHeight="1" x14ac:dyDescent="0.3"/>
    <row r="1080" ht="15.7" customHeight="1" x14ac:dyDescent="0.3"/>
    <row r="1081" ht="15.7" customHeight="1" x14ac:dyDescent="0.3"/>
    <row r="1082" ht="15.7" customHeight="1" x14ac:dyDescent="0.3"/>
    <row r="1083" ht="15.7" customHeight="1" x14ac:dyDescent="0.3"/>
    <row r="1084" ht="15.7" customHeight="1" x14ac:dyDescent="0.3"/>
    <row r="1085" ht="15.7" customHeight="1" x14ac:dyDescent="0.3"/>
    <row r="1086" ht="15.7" customHeight="1" x14ac:dyDescent="0.3"/>
    <row r="1087" ht="15.7" customHeight="1" x14ac:dyDescent="0.3"/>
    <row r="1088" ht="15.7" customHeight="1" x14ac:dyDescent="0.3"/>
    <row r="1089" ht="15.7" customHeight="1" x14ac:dyDescent="0.3"/>
    <row r="1090" ht="15.7" customHeight="1" x14ac:dyDescent="0.3"/>
    <row r="1091" ht="15.7" customHeight="1" x14ac:dyDescent="0.3"/>
    <row r="1092" ht="15.7" customHeight="1" x14ac:dyDescent="0.3"/>
    <row r="1093" ht="15.7" customHeight="1" x14ac:dyDescent="0.3"/>
    <row r="1094" ht="15.7" customHeight="1" x14ac:dyDescent="0.3"/>
    <row r="1095" ht="15.7" customHeight="1" x14ac:dyDescent="0.3"/>
    <row r="1096" ht="15.7" customHeight="1" x14ac:dyDescent="0.3"/>
    <row r="1097" ht="15.7" customHeight="1" x14ac:dyDescent="0.3"/>
    <row r="1098" ht="15.7" customHeight="1" x14ac:dyDescent="0.3"/>
    <row r="1099" ht="15.7" customHeight="1" x14ac:dyDescent="0.3"/>
    <row r="1100" ht="15.7" customHeight="1" x14ac:dyDescent="0.3"/>
    <row r="1101" ht="15.7" customHeight="1" x14ac:dyDescent="0.3"/>
    <row r="1102" ht="15.7" customHeight="1" x14ac:dyDescent="0.3"/>
    <row r="1103" ht="15.7" customHeight="1" x14ac:dyDescent="0.3"/>
    <row r="1104" ht="15.7" customHeight="1" x14ac:dyDescent="0.3"/>
    <row r="1105" ht="15.7" customHeight="1" x14ac:dyDescent="0.3"/>
    <row r="1106" ht="15.7" customHeight="1" x14ac:dyDescent="0.3"/>
    <row r="1107" ht="15.7" customHeight="1" x14ac:dyDescent="0.3"/>
  </sheetData>
  <mergeCells count="4">
    <mergeCell ref="B2:I2"/>
    <mergeCell ref="F8:H8"/>
    <mergeCell ref="C9:D9"/>
    <mergeCell ref="C116:D1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6337778862885"/>
  </sheetPr>
  <dimension ref="B1:I1065"/>
  <sheetViews>
    <sheetView zoomScaleNormal="100" workbookViewId="0">
      <selection activeCell="D1" sqref="D1"/>
    </sheetView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1298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43" t="s">
        <v>1015</v>
      </c>
      <c r="F10" s="24" t="s">
        <v>13</v>
      </c>
      <c r="G10" s="3"/>
      <c r="H10" s="3"/>
      <c r="I10" s="3"/>
    </row>
    <row r="11" spans="2:9" x14ac:dyDescent="0.3">
      <c r="C11" s="20">
        <v>2</v>
      </c>
      <c r="D11" s="43" t="s">
        <v>1016</v>
      </c>
      <c r="F11" s="24" t="s">
        <v>13</v>
      </c>
      <c r="G11" s="3"/>
      <c r="H11" s="3"/>
      <c r="I11" s="3"/>
    </row>
    <row r="12" spans="2:9" x14ac:dyDescent="0.3">
      <c r="C12" s="20">
        <v>3</v>
      </c>
      <c r="D12" s="43" t="s">
        <v>1017</v>
      </c>
      <c r="F12" s="24" t="s">
        <v>13</v>
      </c>
      <c r="G12" s="3"/>
      <c r="H12" s="3"/>
      <c r="I12" s="3"/>
    </row>
    <row r="13" spans="2:9" x14ac:dyDescent="0.3">
      <c r="C13" s="20">
        <v>4</v>
      </c>
      <c r="D13" s="43" t="s">
        <v>1018</v>
      </c>
      <c r="F13" s="24" t="s">
        <v>13</v>
      </c>
      <c r="G13" s="3"/>
      <c r="H13" s="3"/>
      <c r="I13" s="3"/>
    </row>
    <row r="14" spans="2:9" x14ac:dyDescent="0.3">
      <c r="C14" s="20">
        <v>5</v>
      </c>
      <c r="D14" s="43" t="s">
        <v>1019</v>
      </c>
      <c r="F14" s="24" t="s">
        <v>13</v>
      </c>
      <c r="G14" s="3"/>
      <c r="H14" s="3"/>
      <c r="I14" s="3"/>
    </row>
    <row r="15" spans="2:9" x14ac:dyDescent="0.3">
      <c r="C15" s="20">
        <v>6</v>
      </c>
      <c r="D15" s="43" t="s">
        <v>1020</v>
      </c>
      <c r="F15" s="24" t="s">
        <v>13</v>
      </c>
      <c r="G15" s="3"/>
      <c r="H15" s="3"/>
      <c r="I15" s="3"/>
    </row>
    <row r="16" spans="2:9" x14ac:dyDescent="0.3">
      <c r="C16" s="20">
        <v>7</v>
      </c>
      <c r="D16" s="43" t="s">
        <v>1021</v>
      </c>
      <c r="F16" s="24" t="s">
        <v>13</v>
      </c>
      <c r="G16" s="3"/>
      <c r="H16" s="3"/>
      <c r="I16" s="3"/>
    </row>
    <row r="17" spans="3:9" x14ac:dyDescent="0.3">
      <c r="C17" s="20">
        <v>8</v>
      </c>
      <c r="D17" s="43" t="s">
        <v>1022</v>
      </c>
      <c r="F17" s="24" t="s">
        <v>13</v>
      </c>
      <c r="G17" s="3"/>
      <c r="H17" s="3"/>
      <c r="I17" s="3"/>
    </row>
    <row r="18" spans="3:9" x14ac:dyDescent="0.3">
      <c r="C18" s="20">
        <v>9</v>
      </c>
      <c r="D18" s="43" t="s">
        <v>1023</v>
      </c>
      <c r="F18" s="24" t="s">
        <v>13</v>
      </c>
      <c r="G18" s="3"/>
      <c r="H18" s="3"/>
      <c r="I18" s="3"/>
    </row>
    <row r="19" spans="3:9" x14ac:dyDescent="0.3">
      <c r="C19" s="20">
        <v>10</v>
      </c>
      <c r="D19" s="43" t="s">
        <v>1024</v>
      </c>
      <c r="F19" s="24" t="s">
        <v>13</v>
      </c>
      <c r="G19" s="3"/>
      <c r="H19" s="3"/>
      <c r="I19" s="3"/>
    </row>
    <row r="20" spans="3:9" x14ac:dyDescent="0.3">
      <c r="C20" s="20">
        <v>11</v>
      </c>
      <c r="D20" s="43" t="s">
        <v>1025</v>
      </c>
      <c r="F20" s="24" t="s">
        <v>13</v>
      </c>
      <c r="G20" s="3"/>
      <c r="H20" s="3"/>
      <c r="I20" s="3"/>
    </row>
    <row r="21" spans="3:9" ht="15.7" customHeight="1" x14ac:dyDescent="0.3">
      <c r="C21" s="20">
        <v>12</v>
      </c>
      <c r="D21" s="43" t="s">
        <v>1026</v>
      </c>
      <c r="F21" s="24" t="s">
        <v>13</v>
      </c>
      <c r="G21" s="3"/>
      <c r="H21" s="3"/>
      <c r="I21" s="3"/>
    </row>
    <row r="22" spans="3:9" ht="15.7" customHeight="1" x14ac:dyDescent="0.3">
      <c r="C22" s="20">
        <v>13</v>
      </c>
      <c r="D22" s="43" t="s">
        <v>1027</v>
      </c>
      <c r="F22" s="24" t="s">
        <v>13</v>
      </c>
      <c r="G22" s="3"/>
      <c r="H22" s="3"/>
      <c r="I22" s="3"/>
    </row>
    <row r="23" spans="3:9" ht="15.7" customHeight="1" x14ac:dyDescent="0.3">
      <c r="C23" s="20">
        <v>14</v>
      </c>
      <c r="D23" s="43" t="s">
        <v>1028</v>
      </c>
      <c r="F23" s="24" t="s">
        <v>13</v>
      </c>
      <c r="G23" s="3"/>
      <c r="H23" s="3"/>
      <c r="I23" s="3"/>
    </row>
    <row r="24" spans="3:9" ht="15.7" customHeight="1" x14ac:dyDescent="0.3">
      <c r="C24" s="20">
        <v>15</v>
      </c>
      <c r="D24" s="43" t="s">
        <v>1029</v>
      </c>
      <c r="F24" s="24" t="s">
        <v>13</v>
      </c>
      <c r="G24" s="3"/>
      <c r="H24" s="3"/>
      <c r="I24" s="3"/>
    </row>
    <row r="25" spans="3:9" ht="15.7" customHeight="1" x14ac:dyDescent="0.3">
      <c r="C25" s="20">
        <v>16</v>
      </c>
      <c r="D25" s="43" t="s">
        <v>1030</v>
      </c>
      <c r="F25" s="24" t="s">
        <v>13</v>
      </c>
      <c r="G25" s="3"/>
      <c r="H25" s="3"/>
      <c r="I25" s="3"/>
    </row>
    <row r="26" spans="3:9" ht="15.7" customHeight="1" x14ac:dyDescent="0.3">
      <c r="C26" s="20">
        <v>17</v>
      </c>
      <c r="D26" s="43" t="s">
        <v>1031</v>
      </c>
      <c r="F26" s="24" t="s">
        <v>13</v>
      </c>
      <c r="G26" s="3"/>
      <c r="H26" s="3"/>
      <c r="I26" s="3"/>
    </row>
    <row r="27" spans="3:9" ht="15.7" customHeight="1" x14ac:dyDescent="0.3">
      <c r="C27" s="20">
        <v>18</v>
      </c>
      <c r="D27" s="43" t="s">
        <v>1032</v>
      </c>
      <c r="F27" s="24" t="s">
        <v>13</v>
      </c>
      <c r="G27" s="3"/>
      <c r="H27" s="3"/>
      <c r="I27" s="3"/>
    </row>
    <row r="28" spans="3:9" ht="15.7" customHeight="1" x14ac:dyDescent="0.3">
      <c r="C28" s="20">
        <v>19</v>
      </c>
      <c r="D28" s="43" t="s">
        <v>1033</v>
      </c>
      <c r="F28" s="24" t="s">
        <v>13</v>
      </c>
      <c r="G28" s="3"/>
      <c r="H28" s="3"/>
      <c r="I28" s="3"/>
    </row>
    <row r="29" spans="3:9" ht="15.7" customHeight="1" x14ac:dyDescent="0.3">
      <c r="C29" s="20">
        <v>20</v>
      </c>
      <c r="D29" s="43" t="s">
        <v>1034</v>
      </c>
      <c r="F29" s="24" t="s">
        <v>13</v>
      </c>
      <c r="G29" s="3"/>
      <c r="H29" s="3"/>
      <c r="I29" s="3"/>
    </row>
    <row r="30" spans="3:9" ht="15.7" customHeight="1" x14ac:dyDescent="0.3">
      <c r="C30" s="20">
        <v>21</v>
      </c>
      <c r="D30" s="43" t="s">
        <v>1035</v>
      </c>
      <c r="F30" s="24" t="s">
        <v>13</v>
      </c>
      <c r="G30" s="3"/>
      <c r="H30" s="3"/>
      <c r="I30" s="3"/>
    </row>
    <row r="31" spans="3:9" ht="15.7" customHeight="1" x14ac:dyDescent="0.3">
      <c r="C31" s="20">
        <v>22</v>
      </c>
      <c r="D31" s="43" t="s">
        <v>1036</v>
      </c>
      <c r="F31" s="24" t="s">
        <v>13</v>
      </c>
      <c r="G31" s="3"/>
      <c r="H31" s="3"/>
      <c r="I31" s="3"/>
    </row>
    <row r="32" spans="3:9" ht="15.7" customHeight="1" x14ac:dyDescent="0.3">
      <c r="C32" s="20">
        <v>23</v>
      </c>
      <c r="D32" s="43" t="s">
        <v>1037</v>
      </c>
      <c r="F32" s="24" t="s">
        <v>13</v>
      </c>
      <c r="G32" s="3"/>
      <c r="H32" s="3"/>
      <c r="I32" s="3"/>
    </row>
    <row r="33" spans="3:9" ht="15.7" customHeight="1" x14ac:dyDescent="0.3">
      <c r="C33" s="20">
        <v>24</v>
      </c>
      <c r="D33" s="43" t="s">
        <v>1038</v>
      </c>
      <c r="F33" s="24" t="s">
        <v>13</v>
      </c>
      <c r="G33" s="3"/>
      <c r="H33" s="3"/>
      <c r="I33" s="3"/>
    </row>
    <row r="34" spans="3:9" ht="15.7" customHeight="1" x14ac:dyDescent="0.3">
      <c r="C34" s="20">
        <v>25</v>
      </c>
      <c r="D34" s="43" t="s">
        <v>1039</v>
      </c>
      <c r="F34" s="24" t="s">
        <v>13</v>
      </c>
      <c r="G34" s="3"/>
      <c r="H34" s="3"/>
      <c r="I34" s="3"/>
    </row>
    <row r="35" spans="3:9" ht="15.7" customHeight="1" x14ac:dyDescent="0.3">
      <c r="C35" s="20">
        <v>26</v>
      </c>
      <c r="D35" s="43" t="s">
        <v>1040</v>
      </c>
      <c r="F35" s="24" t="s">
        <v>13</v>
      </c>
      <c r="G35" s="3"/>
      <c r="H35" s="3"/>
      <c r="I35" s="3"/>
    </row>
    <row r="36" spans="3:9" ht="15.7" customHeight="1" x14ac:dyDescent="0.3">
      <c r="C36" s="20">
        <v>27</v>
      </c>
      <c r="D36" s="43" t="s">
        <v>1041</v>
      </c>
      <c r="F36" s="24" t="s">
        <v>13</v>
      </c>
      <c r="G36" s="3"/>
      <c r="H36" s="3"/>
      <c r="I36" s="3"/>
    </row>
    <row r="37" spans="3:9" ht="15.7" customHeight="1" x14ac:dyDescent="0.3">
      <c r="C37" s="20">
        <v>28</v>
      </c>
      <c r="D37" s="43" t="s">
        <v>1042</v>
      </c>
      <c r="F37" s="24" t="s">
        <v>13</v>
      </c>
      <c r="G37" s="3"/>
      <c r="H37" s="3"/>
      <c r="I37" s="3"/>
    </row>
    <row r="38" spans="3:9" ht="15.7" customHeight="1" x14ac:dyDescent="0.3">
      <c r="C38" s="20">
        <v>29</v>
      </c>
      <c r="D38" s="43" t="s">
        <v>1043</v>
      </c>
      <c r="F38" s="24" t="s">
        <v>13</v>
      </c>
      <c r="G38" s="3"/>
      <c r="H38" s="3"/>
      <c r="I38" s="3"/>
    </row>
    <row r="39" spans="3:9" ht="15.7" customHeight="1" x14ac:dyDescent="0.3">
      <c r="C39" s="20">
        <v>30</v>
      </c>
      <c r="D39" s="43" t="s">
        <v>1044</v>
      </c>
      <c r="F39" s="24" t="s">
        <v>13</v>
      </c>
      <c r="G39" s="3"/>
      <c r="H39" s="3"/>
      <c r="I39" s="3"/>
    </row>
    <row r="40" spans="3:9" ht="15.7" customHeight="1" x14ac:dyDescent="0.3">
      <c r="C40" s="20">
        <v>31</v>
      </c>
      <c r="D40" s="43" t="s">
        <v>1045</v>
      </c>
      <c r="F40" s="24" t="s">
        <v>13</v>
      </c>
      <c r="G40" s="3"/>
      <c r="H40" s="3"/>
      <c r="I40" s="3"/>
    </row>
    <row r="41" spans="3:9" ht="15.7" customHeight="1" x14ac:dyDescent="0.3">
      <c r="C41" s="20">
        <v>32</v>
      </c>
      <c r="D41" s="43" t="s">
        <v>1046</v>
      </c>
      <c r="F41" s="24" t="s">
        <v>13</v>
      </c>
      <c r="G41" s="3"/>
      <c r="H41" s="3"/>
      <c r="I41" s="3"/>
    </row>
    <row r="42" spans="3:9" ht="15.7" customHeight="1" x14ac:dyDescent="0.3">
      <c r="C42" s="20">
        <v>33</v>
      </c>
      <c r="D42" s="43" t="s">
        <v>1047</v>
      </c>
      <c r="F42" s="24" t="s">
        <v>13</v>
      </c>
      <c r="G42" s="3"/>
      <c r="H42" s="3"/>
      <c r="I42" s="3"/>
    </row>
    <row r="43" spans="3:9" ht="15.7" customHeight="1" x14ac:dyDescent="0.3">
      <c r="C43" s="20">
        <v>34</v>
      </c>
      <c r="D43" s="43" t="s">
        <v>18</v>
      </c>
      <c r="F43" s="24" t="s">
        <v>13</v>
      </c>
      <c r="G43" s="3"/>
      <c r="H43" s="3"/>
      <c r="I43" s="3"/>
    </row>
    <row r="44" spans="3:9" ht="15.7" customHeight="1" x14ac:dyDescent="0.3">
      <c r="C44" s="20">
        <v>35</v>
      </c>
      <c r="D44" s="43" t="s">
        <v>1048</v>
      </c>
      <c r="F44" s="24" t="s">
        <v>13</v>
      </c>
      <c r="G44" s="3"/>
      <c r="H44" s="3"/>
      <c r="I44" s="3"/>
    </row>
    <row r="45" spans="3:9" ht="15.7" customHeight="1" x14ac:dyDescent="0.3">
      <c r="C45" s="20">
        <v>36</v>
      </c>
      <c r="D45" s="43" t="s">
        <v>1049</v>
      </c>
      <c r="F45" s="24" t="s">
        <v>13</v>
      </c>
      <c r="G45" s="3"/>
      <c r="H45" s="3"/>
      <c r="I45" s="3"/>
    </row>
    <row r="46" spans="3:9" ht="15.7" customHeight="1" x14ac:dyDescent="0.3">
      <c r="C46" s="20">
        <v>37</v>
      </c>
      <c r="D46" s="43" t="s">
        <v>1050</v>
      </c>
      <c r="F46" s="24" t="s">
        <v>13</v>
      </c>
      <c r="G46" s="3"/>
      <c r="H46" s="3"/>
      <c r="I46" s="3"/>
    </row>
    <row r="47" spans="3:9" ht="15.7" customHeight="1" x14ac:dyDescent="0.3">
      <c r="C47" s="20">
        <v>38</v>
      </c>
      <c r="D47" s="43" t="s">
        <v>1051</v>
      </c>
      <c r="F47" s="24" t="s">
        <v>13</v>
      </c>
      <c r="G47" s="3"/>
      <c r="H47" s="3"/>
      <c r="I47" s="3"/>
    </row>
    <row r="48" spans="3:9" ht="15.7" customHeight="1" x14ac:dyDescent="0.3">
      <c r="C48" s="20">
        <v>39</v>
      </c>
      <c r="D48" s="43" t="s">
        <v>1052</v>
      </c>
      <c r="F48" s="24" t="s">
        <v>13</v>
      </c>
      <c r="G48" s="3"/>
      <c r="H48" s="3"/>
      <c r="I48" s="3"/>
    </row>
    <row r="49" spans="3:9" ht="15.7" customHeight="1" x14ac:dyDescent="0.3">
      <c r="C49" s="20">
        <v>40</v>
      </c>
      <c r="D49" s="43" t="s">
        <v>1053</v>
      </c>
      <c r="F49" s="24" t="s">
        <v>13</v>
      </c>
      <c r="G49" s="3"/>
      <c r="H49" s="3"/>
      <c r="I49" s="3"/>
    </row>
    <row r="50" spans="3:9" ht="15.7" customHeight="1" x14ac:dyDescent="0.3">
      <c r="C50" s="20">
        <v>41</v>
      </c>
      <c r="D50" s="43" t="s">
        <v>1054</v>
      </c>
      <c r="F50" s="24" t="s">
        <v>13</v>
      </c>
      <c r="G50" s="3"/>
      <c r="H50" s="3"/>
      <c r="I50" s="3"/>
    </row>
    <row r="51" spans="3:9" ht="15.7" customHeight="1" x14ac:dyDescent="0.3">
      <c r="C51" s="20">
        <v>42</v>
      </c>
      <c r="D51" s="43" t="s">
        <v>1055</v>
      </c>
      <c r="F51" s="24" t="s">
        <v>13</v>
      </c>
      <c r="G51" s="3"/>
      <c r="H51" s="3"/>
      <c r="I51" s="3"/>
    </row>
    <row r="52" spans="3:9" ht="15.7" customHeight="1" x14ac:dyDescent="0.3">
      <c r="C52" s="20">
        <v>43</v>
      </c>
      <c r="D52" s="43" t="s">
        <v>1056</v>
      </c>
      <c r="F52" s="24" t="s">
        <v>13</v>
      </c>
      <c r="G52" s="3"/>
      <c r="H52" s="3"/>
      <c r="I52" s="3"/>
    </row>
    <row r="53" spans="3:9" ht="15.7" customHeight="1" x14ac:dyDescent="0.3">
      <c r="C53" s="20">
        <v>44</v>
      </c>
      <c r="D53" s="43" t="s">
        <v>1057</v>
      </c>
      <c r="F53" s="24" t="s">
        <v>13</v>
      </c>
      <c r="G53" s="3"/>
      <c r="H53" s="3"/>
      <c r="I53" s="3"/>
    </row>
    <row r="54" spans="3:9" ht="15.7" customHeight="1" x14ac:dyDescent="0.3">
      <c r="C54" s="20">
        <v>45</v>
      </c>
      <c r="D54" s="43" t="s">
        <v>1058</v>
      </c>
      <c r="F54" s="24" t="s">
        <v>13</v>
      </c>
      <c r="G54" s="3"/>
      <c r="H54" s="3"/>
      <c r="I54" s="3"/>
    </row>
    <row r="55" spans="3:9" ht="15.7" customHeight="1" x14ac:dyDescent="0.3">
      <c r="C55" s="20">
        <v>46</v>
      </c>
      <c r="D55" s="43" t="s">
        <v>1059</v>
      </c>
      <c r="F55" s="24" t="s">
        <v>13</v>
      </c>
      <c r="G55" s="3"/>
      <c r="H55" s="3"/>
      <c r="I55" s="3"/>
    </row>
    <row r="56" spans="3:9" ht="15.7" customHeight="1" x14ac:dyDescent="0.3">
      <c r="C56" s="20">
        <v>47</v>
      </c>
      <c r="D56" s="43" t="s">
        <v>1060</v>
      </c>
      <c r="F56" s="24" t="s">
        <v>13</v>
      </c>
      <c r="G56" s="3"/>
      <c r="H56" s="3"/>
      <c r="I56" s="3"/>
    </row>
    <row r="57" spans="3:9" ht="15.7" customHeight="1" x14ac:dyDescent="0.3">
      <c r="C57" s="20">
        <v>48</v>
      </c>
      <c r="D57" s="43" t="s">
        <v>1061</v>
      </c>
      <c r="F57" s="24" t="s">
        <v>13</v>
      </c>
      <c r="G57" s="3"/>
      <c r="H57" s="3"/>
      <c r="I57" s="3"/>
    </row>
    <row r="58" spans="3:9" ht="15.7" customHeight="1" x14ac:dyDescent="0.3">
      <c r="C58" s="20">
        <v>49</v>
      </c>
      <c r="D58" s="43" t="s">
        <v>1062</v>
      </c>
      <c r="F58" s="24" t="s">
        <v>13</v>
      </c>
      <c r="G58" s="3"/>
      <c r="H58" s="3"/>
      <c r="I58" s="3"/>
    </row>
    <row r="59" spans="3:9" ht="15.7" customHeight="1" x14ac:dyDescent="0.3">
      <c r="C59" s="20">
        <v>50</v>
      </c>
      <c r="D59" s="43" t="s">
        <v>1063</v>
      </c>
      <c r="F59" s="24" t="s">
        <v>13</v>
      </c>
      <c r="G59" s="3"/>
      <c r="H59" s="3"/>
      <c r="I59" s="3"/>
    </row>
    <row r="60" spans="3:9" ht="15.7" customHeight="1" x14ac:dyDescent="0.3">
      <c r="C60" s="20">
        <v>51</v>
      </c>
      <c r="D60" s="43" t="s">
        <v>1064</v>
      </c>
      <c r="F60" s="24" t="s">
        <v>13</v>
      </c>
      <c r="G60" s="3"/>
      <c r="H60" s="3"/>
      <c r="I60" s="3"/>
    </row>
    <row r="61" spans="3:9" ht="15.7" customHeight="1" x14ac:dyDescent="0.3">
      <c r="C61" s="20">
        <v>52</v>
      </c>
      <c r="D61" s="43" t="s">
        <v>1065</v>
      </c>
      <c r="F61" s="24" t="s">
        <v>13</v>
      </c>
      <c r="G61" s="3"/>
      <c r="H61" s="3"/>
      <c r="I61" s="3"/>
    </row>
    <row r="62" spans="3:9" ht="15.7" customHeight="1" x14ac:dyDescent="0.3">
      <c r="C62" s="20">
        <v>53</v>
      </c>
      <c r="D62" s="43" t="s">
        <v>1066</v>
      </c>
      <c r="F62" s="24" t="s">
        <v>13</v>
      </c>
      <c r="G62" s="3"/>
      <c r="H62" s="3"/>
      <c r="I62" s="3"/>
    </row>
    <row r="63" spans="3:9" ht="15.7" customHeight="1" x14ac:dyDescent="0.3">
      <c r="C63" s="20">
        <v>54</v>
      </c>
      <c r="D63" s="43" t="s">
        <v>1067</v>
      </c>
      <c r="F63" s="24" t="s">
        <v>13</v>
      </c>
      <c r="G63" s="3"/>
      <c r="H63" s="3"/>
      <c r="I63" s="3"/>
    </row>
    <row r="64" spans="3:9" ht="15.7" customHeight="1" x14ac:dyDescent="0.3">
      <c r="C64" s="20">
        <v>55</v>
      </c>
      <c r="D64" s="43" t="s">
        <v>1068</v>
      </c>
      <c r="F64" s="24" t="s">
        <v>13</v>
      </c>
      <c r="G64" s="3"/>
      <c r="H64" s="3"/>
      <c r="I64" s="3"/>
    </row>
    <row r="65" spans="3:9" ht="15.7" customHeight="1" x14ac:dyDescent="0.3">
      <c r="C65" s="20">
        <v>56</v>
      </c>
      <c r="D65" s="43" t="s">
        <v>1069</v>
      </c>
      <c r="F65" s="24" t="s">
        <v>13</v>
      </c>
      <c r="G65" s="3"/>
      <c r="H65" s="3"/>
      <c r="I65" s="3"/>
    </row>
    <row r="66" spans="3:9" ht="15.7" customHeight="1" x14ac:dyDescent="0.3">
      <c r="C66" s="20">
        <v>57</v>
      </c>
      <c r="D66" s="43" t="s">
        <v>1070</v>
      </c>
      <c r="F66" s="24" t="s">
        <v>13</v>
      </c>
      <c r="G66" s="3"/>
      <c r="H66" s="3"/>
      <c r="I66" s="3"/>
    </row>
    <row r="67" spans="3:9" ht="15.7" customHeight="1" x14ac:dyDescent="0.3">
      <c r="C67" s="20">
        <v>58</v>
      </c>
      <c r="D67" s="43" t="s">
        <v>1071</v>
      </c>
      <c r="F67" s="24" t="s">
        <v>13</v>
      </c>
      <c r="G67" s="3"/>
      <c r="H67" s="3"/>
      <c r="I67" s="3"/>
    </row>
    <row r="68" spans="3:9" ht="15.7" customHeight="1" x14ac:dyDescent="0.3">
      <c r="C68" s="20">
        <v>59</v>
      </c>
      <c r="D68" s="43" t="s">
        <v>1072</v>
      </c>
      <c r="F68" s="24" t="s">
        <v>13</v>
      </c>
      <c r="G68" s="3"/>
      <c r="H68" s="3"/>
      <c r="I68" s="3"/>
    </row>
    <row r="69" spans="3:9" ht="15.7" customHeight="1" x14ac:dyDescent="0.3">
      <c r="C69" s="20">
        <v>60</v>
      </c>
      <c r="D69" s="43" t="s">
        <v>1073</v>
      </c>
      <c r="F69" s="24" t="s">
        <v>13</v>
      </c>
      <c r="G69" s="3"/>
      <c r="H69" s="3"/>
      <c r="I69" s="3"/>
    </row>
    <row r="70" spans="3:9" ht="15.7" customHeight="1" x14ac:dyDescent="0.3">
      <c r="C70" s="20">
        <v>61</v>
      </c>
      <c r="D70" s="43" t="s">
        <v>1074</v>
      </c>
      <c r="F70" s="24" t="s">
        <v>13</v>
      </c>
      <c r="G70" s="3"/>
      <c r="H70" s="3"/>
      <c r="I70" s="3"/>
    </row>
    <row r="71" spans="3:9" ht="15.7" customHeight="1" x14ac:dyDescent="0.3">
      <c r="C71" s="20">
        <v>62</v>
      </c>
      <c r="D71" s="43" t="s">
        <v>1075</v>
      </c>
      <c r="F71" s="24" t="s">
        <v>13</v>
      </c>
      <c r="G71" s="3"/>
      <c r="H71" s="3"/>
      <c r="I71" s="3"/>
    </row>
    <row r="72" spans="3:9" ht="15.7" customHeight="1" x14ac:dyDescent="0.3">
      <c r="C72" s="20">
        <v>63</v>
      </c>
      <c r="D72" s="43" t="s">
        <v>1076</v>
      </c>
      <c r="F72" s="24" t="s">
        <v>13</v>
      </c>
      <c r="G72" s="3"/>
      <c r="H72" s="3"/>
      <c r="I72" s="3"/>
    </row>
    <row r="73" spans="3:9" ht="15.7" customHeight="1" x14ac:dyDescent="0.3">
      <c r="C73" s="20">
        <v>64</v>
      </c>
      <c r="D73" s="43" t="s">
        <v>1077</v>
      </c>
      <c r="F73" s="24" t="s">
        <v>13</v>
      </c>
      <c r="G73" s="3"/>
      <c r="H73" s="3"/>
      <c r="I73" s="3"/>
    </row>
    <row r="74" spans="3:9" ht="15.7" customHeight="1" x14ac:dyDescent="0.3">
      <c r="C74" s="20">
        <v>65</v>
      </c>
      <c r="D74" s="43" t="s">
        <v>1078</v>
      </c>
      <c r="F74" s="24" t="s">
        <v>13</v>
      </c>
      <c r="G74" s="3"/>
      <c r="H74" s="3"/>
      <c r="I74" s="3"/>
    </row>
    <row r="75" spans="3:9" ht="15.7" customHeight="1" x14ac:dyDescent="0.3">
      <c r="C75" s="20">
        <v>66</v>
      </c>
      <c r="D75" s="43" t="s">
        <v>1079</v>
      </c>
      <c r="F75" s="24" t="s">
        <v>13</v>
      </c>
      <c r="G75" s="3"/>
      <c r="H75" s="3"/>
      <c r="I75" s="3"/>
    </row>
    <row r="76" spans="3:9" ht="15.7" customHeight="1" x14ac:dyDescent="0.3">
      <c r="C76" s="20">
        <v>67</v>
      </c>
      <c r="D76" s="43" t="s">
        <v>1080</v>
      </c>
      <c r="F76" s="24" t="s">
        <v>13</v>
      </c>
      <c r="G76" s="3"/>
      <c r="H76" s="3"/>
      <c r="I76" s="3"/>
    </row>
    <row r="77" spans="3:9" ht="15.7" customHeight="1" x14ac:dyDescent="0.3">
      <c r="C77" s="20">
        <v>68</v>
      </c>
      <c r="D77" s="43" t="s">
        <v>1081</v>
      </c>
      <c r="F77" s="24" t="s">
        <v>13</v>
      </c>
      <c r="G77" s="3"/>
      <c r="H77" s="3"/>
      <c r="I77" s="3"/>
    </row>
    <row r="78" spans="3:9" ht="15.7" customHeight="1" x14ac:dyDescent="0.3"/>
    <row r="79" spans="3:9" ht="15.7" customHeight="1" x14ac:dyDescent="0.3">
      <c r="C79" s="88" t="s">
        <v>14</v>
      </c>
      <c r="D79" s="70"/>
      <c r="F79" s="6" t="s">
        <v>1</v>
      </c>
      <c r="G79" s="6" t="s">
        <v>3</v>
      </c>
      <c r="H79" s="6" t="s">
        <v>5</v>
      </c>
      <c r="I79" s="6" t="s">
        <v>10</v>
      </c>
    </row>
    <row r="80" spans="3:9" ht="15.7" customHeight="1" x14ac:dyDescent="0.3">
      <c r="C80" s="33">
        <v>1</v>
      </c>
      <c r="D80" s="43" t="s">
        <v>1082</v>
      </c>
      <c r="F80" s="24" t="s">
        <v>13</v>
      </c>
      <c r="G80" s="3"/>
      <c r="H80" s="3"/>
      <c r="I80" s="3"/>
    </row>
    <row r="81" spans="3:9" ht="15.7" customHeight="1" x14ac:dyDescent="0.3">
      <c r="C81" s="20">
        <v>2</v>
      </c>
      <c r="D81" s="43" t="s">
        <v>1083</v>
      </c>
      <c r="F81" s="24" t="s">
        <v>13</v>
      </c>
      <c r="G81" s="3"/>
      <c r="H81" s="3"/>
      <c r="I81" s="3"/>
    </row>
    <row r="82" spans="3:9" ht="15.7" customHeight="1" x14ac:dyDescent="0.3">
      <c r="C82" s="20">
        <v>3</v>
      </c>
      <c r="D82" s="43" t="s">
        <v>1084</v>
      </c>
      <c r="F82" s="24" t="s">
        <v>13</v>
      </c>
      <c r="G82" s="3"/>
      <c r="H82" s="3"/>
      <c r="I82" s="3"/>
    </row>
    <row r="83" spans="3:9" ht="15.7" customHeight="1" x14ac:dyDescent="0.3">
      <c r="C83" s="20">
        <v>4</v>
      </c>
      <c r="D83" s="43" t="s">
        <v>964</v>
      </c>
      <c r="F83" s="24" t="s">
        <v>13</v>
      </c>
      <c r="G83" s="3"/>
      <c r="H83" s="3"/>
      <c r="I83" s="3"/>
    </row>
    <row r="84" spans="3:9" ht="15.7" customHeight="1" x14ac:dyDescent="0.3">
      <c r="C84" s="33">
        <v>5</v>
      </c>
      <c r="D84" s="43" t="s">
        <v>1085</v>
      </c>
      <c r="F84" s="24" t="s">
        <v>13</v>
      </c>
      <c r="G84" s="3"/>
      <c r="H84" s="3"/>
      <c r="I84" s="3"/>
    </row>
    <row r="85" spans="3:9" ht="15.7" customHeight="1" x14ac:dyDescent="0.3">
      <c r="C85" s="20">
        <v>6</v>
      </c>
      <c r="D85" s="43" t="s">
        <v>1086</v>
      </c>
      <c r="F85" s="24" t="s">
        <v>13</v>
      </c>
      <c r="G85" s="3"/>
      <c r="H85" s="3"/>
      <c r="I85" s="3"/>
    </row>
    <row r="86" spans="3:9" ht="15.7" customHeight="1" x14ac:dyDescent="0.3">
      <c r="C86" s="20">
        <v>7</v>
      </c>
      <c r="D86" s="43" t="s">
        <v>1087</v>
      </c>
      <c r="F86" s="24" t="s">
        <v>13</v>
      </c>
      <c r="G86" s="3"/>
      <c r="H86" s="3"/>
      <c r="I86" s="3"/>
    </row>
    <row r="87" spans="3:9" ht="15.7" customHeight="1" x14ac:dyDescent="0.3">
      <c r="C87" s="20">
        <v>8</v>
      </c>
      <c r="D87" s="43" t="s">
        <v>1088</v>
      </c>
      <c r="F87" s="24" t="s">
        <v>13</v>
      </c>
      <c r="G87" s="3"/>
      <c r="H87" s="3"/>
      <c r="I87" s="3"/>
    </row>
    <row r="88" spans="3:9" ht="15.7" customHeight="1" x14ac:dyDescent="0.3">
      <c r="C88" s="33">
        <v>9</v>
      </c>
      <c r="D88" s="43" t="s">
        <v>1089</v>
      </c>
      <c r="F88" s="24" t="s">
        <v>13</v>
      </c>
      <c r="G88" s="3"/>
      <c r="H88" s="3"/>
      <c r="I88" s="3"/>
    </row>
    <row r="89" spans="3:9" ht="15.7" customHeight="1" x14ac:dyDescent="0.3">
      <c r="C89" s="20">
        <v>10</v>
      </c>
      <c r="D89" s="43" t="s">
        <v>1090</v>
      </c>
      <c r="F89" s="24" t="s">
        <v>13</v>
      </c>
      <c r="G89" s="3"/>
      <c r="H89" s="3"/>
      <c r="I89" s="3"/>
    </row>
    <row r="90" spans="3:9" ht="15.7" customHeight="1" x14ac:dyDescent="0.3">
      <c r="C90" s="20">
        <v>11</v>
      </c>
      <c r="D90" s="43" t="s">
        <v>1091</v>
      </c>
      <c r="F90" s="24" t="s">
        <v>13</v>
      </c>
      <c r="G90" s="3"/>
      <c r="H90" s="3"/>
      <c r="I90" s="3"/>
    </row>
    <row r="91" spans="3:9" ht="15.7" customHeight="1" x14ac:dyDescent="0.3">
      <c r="C91" s="20">
        <v>12</v>
      </c>
      <c r="D91" s="43" t="s">
        <v>1092</v>
      </c>
      <c r="F91" s="24" t="s">
        <v>13</v>
      </c>
      <c r="G91" s="3"/>
      <c r="H91" s="3"/>
      <c r="I91" s="3"/>
    </row>
    <row r="92" spans="3:9" ht="15.7" customHeight="1" x14ac:dyDescent="0.3">
      <c r="C92" s="33">
        <v>13</v>
      </c>
      <c r="D92" s="43" t="s">
        <v>1093</v>
      </c>
      <c r="F92" s="24" t="s">
        <v>13</v>
      </c>
      <c r="G92" s="3"/>
      <c r="H92" s="3"/>
      <c r="I92" s="3"/>
    </row>
    <row r="93" spans="3:9" ht="15.7" customHeight="1" x14ac:dyDescent="0.3">
      <c r="C93" s="20">
        <v>14</v>
      </c>
      <c r="D93" s="43" t="s">
        <v>1094</v>
      </c>
      <c r="F93" s="24" t="s">
        <v>13</v>
      </c>
      <c r="G93" s="3"/>
      <c r="H93" s="3"/>
      <c r="I93" s="3"/>
    </row>
    <row r="94" spans="3:9" ht="15.7" customHeight="1" x14ac:dyDescent="0.3">
      <c r="C94" s="20">
        <v>15</v>
      </c>
      <c r="D94" s="43" t="s">
        <v>1095</v>
      </c>
      <c r="F94" s="24" t="s">
        <v>13</v>
      </c>
      <c r="G94" s="3"/>
      <c r="H94" s="3"/>
      <c r="I94" s="3"/>
    </row>
    <row r="95" spans="3:9" ht="15.7" customHeight="1" x14ac:dyDescent="0.3">
      <c r="C95" s="20">
        <v>16</v>
      </c>
      <c r="D95" s="43" t="s">
        <v>1096</v>
      </c>
      <c r="F95" s="24" t="s">
        <v>13</v>
      </c>
      <c r="G95" s="3"/>
      <c r="H95" s="3"/>
      <c r="I95" s="3"/>
    </row>
    <row r="96" spans="3:9" ht="15.7" customHeight="1" x14ac:dyDescent="0.3">
      <c r="C96" s="33">
        <v>17</v>
      </c>
      <c r="D96" s="43" t="s">
        <v>1097</v>
      </c>
      <c r="F96" s="24" t="s">
        <v>13</v>
      </c>
      <c r="G96" s="3"/>
      <c r="H96" s="3"/>
      <c r="I96" s="3"/>
    </row>
    <row r="97" spans="3:9" ht="15.7" customHeight="1" x14ac:dyDescent="0.3">
      <c r="C97" s="20">
        <v>18</v>
      </c>
      <c r="D97" s="43" t="s">
        <v>1098</v>
      </c>
      <c r="F97" s="24" t="s">
        <v>13</v>
      </c>
      <c r="G97" s="3"/>
      <c r="H97" s="3"/>
      <c r="I97" s="3"/>
    </row>
    <row r="98" spans="3:9" ht="15.7" customHeight="1" x14ac:dyDescent="0.3">
      <c r="C98" s="20">
        <v>19</v>
      </c>
      <c r="D98" s="43" t="s">
        <v>1099</v>
      </c>
      <c r="F98" s="24" t="s">
        <v>13</v>
      </c>
      <c r="G98" s="3"/>
      <c r="H98" s="3"/>
      <c r="I98" s="3"/>
    </row>
    <row r="99" spans="3:9" ht="15.7" customHeight="1" x14ac:dyDescent="0.3">
      <c r="C99" s="20">
        <v>20</v>
      </c>
      <c r="D99" s="43" t="s">
        <v>1100</v>
      </c>
      <c r="F99" s="24" t="s">
        <v>13</v>
      </c>
      <c r="G99" s="3"/>
      <c r="H99" s="3"/>
      <c r="I99" s="3"/>
    </row>
    <row r="100" spans="3:9" ht="15.7" customHeight="1" x14ac:dyDescent="0.3">
      <c r="C100" s="20">
        <v>21</v>
      </c>
      <c r="D100" s="43" t="s">
        <v>1101</v>
      </c>
      <c r="F100" s="24" t="s">
        <v>13</v>
      </c>
      <c r="G100" s="3"/>
      <c r="H100" s="3"/>
      <c r="I100" s="3"/>
    </row>
    <row r="101" spans="3:9" ht="15.7" customHeight="1" x14ac:dyDescent="0.3">
      <c r="C101" s="20">
        <v>22</v>
      </c>
      <c r="D101" s="43" t="s">
        <v>1102</v>
      </c>
      <c r="F101" s="24" t="s">
        <v>13</v>
      </c>
      <c r="G101" s="3"/>
      <c r="H101" s="3"/>
      <c r="I101" s="3"/>
    </row>
    <row r="102" spans="3:9" ht="15.7" customHeight="1" x14ac:dyDescent="0.3">
      <c r="C102" s="20">
        <v>23</v>
      </c>
      <c r="D102" s="43" t="s">
        <v>1103</v>
      </c>
      <c r="F102" s="24" t="s">
        <v>13</v>
      </c>
      <c r="G102" s="3"/>
      <c r="H102" s="3"/>
      <c r="I102" s="3"/>
    </row>
    <row r="103" spans="3:9" ht="15.7" customHeight="1" x14ac:dyDescent="0.3">
      <c r="C103" s="20">
        <v>24</v>
      </c>
      <c r="D103" s="43" t="s">
        <v>1104</v>
      </c>
      <c r="F103" s="24" t="s">
        <v>13</v>
      </c>
      <c r="G103" s="3"/>
      <c r="H103" s="3"/>
      <c r="I103" s="3"/>
    </row>
    <row r="104" spans="3:9" ht="15.7" customHeight="1" x14ac:dyDescent="0.3">
      <c r="C104" s="20">
        <v>25</v>
      </c>
      <c r="D104" s="43" t="s">
        <v>1105</v>
      </c>
      <c r="F104" s="24" t="s">
        <v>13</v>
      </c>
      <c r="G104" s="3"/>
      <c r="H104" s="3"/>
      <c r="I104" s="3"/>
    </row>
    <row r="105" spans="3:9" ht="15.7" customHeight="1" x14ac:dyDescent="0.3">
      <c r="C105" s="20">
        <v>26</v>
      </c>
      <c r="D105" s="43" t="s">
        <v>1106</v>
      </c>
      <c r="F105" s="24" t="s">
        <v>13</v>
      </c>
      <c r="G105" s="3"/>
      <c r="H105" s="3"/>
      <c r="I105" s="3"/>
    </row>
    <row r="106" spans="3:9" ht="15.7" customHeight="1" x14ac:dyDescent="0.3">
      <c r="C106" s="20">
        <v>27</v>
      </c>
      <c r="D106" s="43" t="s">
        <v>1107</v>
      </c>
      <c r="F106" s="24" t="s">
        <v>13</v>
      </c>
      <c r="G106" s="3"/>
      <c r="H106" s="3"/>
      <c r="I106" s="3"/>
    </row>
    <row r="107" spans="3:9" ht="15.7" customHeight="1" x14ac:dyDescent="0.3">
      <c r="C107" s="20">
        <v>28</v>
      </c>
      <c r="D107" s="43" t="s">
        <v>17</v>
      </c>
      <c r="F107" s="24" t="s">
        <v>13</v>
      </c>
      <c r="G107" s="3"/>
      <c r="H107" s="3"/>
      <c r="I107" s="3"/>
    </row>
    <row r="108" spans="3:9" ht="15.7" customHeight="1" x14ac:dyDescent="0.3">
      <c r="C108" s="20">
        <v>29</v>
      </c>
      <c r="D108" s="43" t="s">
        <v>1108</v>
      </c>
      <c r="F108" s="24" t="s">
        <v>13</v>
      </c>
      <c r="G108" s="3"/>
      <c r="H108" s="3"/>
      <c r="I108" s="3"/>
    </row>
    <row r="109" spans="3:9" ht="15.7" customHeight="1" x14ac:dyDescent="0.3">
      <c r="C109" s="20">
        <v>30</v>
      </c>
      <c r="D109" s="43" t="s">
        <v>1109</v>
      </c>
      <c r="F109" s="24" t="s">
        <v>13</v>
      </c>
      <c r="G109" s="3"/>
      <c r="H109" s="3"/>
      <c r="I109" s="3"/>
    </row>
    <row r="110" spans="3:9" ht="15.7" customHeight="1" x14ac:dyDescent="0.3">
      <c r="C110" s="20">
        <v>31</v>
      </c>
      <c r="D110" s="43" t="s">
        <v>1110</v>
      </c>
      <c r="F110" s="24" t="s">
        <v>13</v>
      </c>
      <c r="G110" s="3"/>
      <c r="H110" s="3"/>
      <c r="I110" s="3"/>
    </row>
    <row r="111" spans="3:9" ht="15.7" customHeight="1" x14ac:dyDescent="0.3">
      <c r="C111" s="20">
        <v>32</v>
      </c>
      <c r="D111" s="43" t="s">
        <v>1111</v>
      </c>
      <c r="F111" s="24" t="s">
        <v>13</v>
      </c>
      <c r="G111" s="3"/>
      <c r="H111" s="3"/>
      <c r="I111" s="3"/>
    </row>
    <row r="112" spans="3:9" ht="15.7" customHeight="1" x14ac:dyDescent="0.3">
      <c r="C112" s="20">
        <v>33</v>
      </c>
      <c r="D112" s="43" t="s">
        <v>1112</v>
      </c>
      <c r="F112" s="24" t="s">
        <v>13</v>
      </c>
      <c r="G112" s="3"/>
      <c r="H112" s="3"/>
      <c r="I112" s="3"/>
    </row>
    <row r="113" spans="3:9" ht="15.7" customHeight="1" x14ac:dyDescent="0.3">
      <c r="C113" s="20">
        <v>34</v>
      </c>
      <c r="D113" s="43" t="s">
        <v>1113</v>
      </c>
      <c r="F113" s="24" t="s">
        <v>13</v>
      </c>
      <c r="G113" s="3"/>
      <c r="H113" s="3"/>
      <c r="I113" s="3"/>
    </row>
    <row r="114" spans="3:9" ht="15.7" customHeight="1" x14ac:dyDescent="0.3">
      <c r="C114" s="20">
        <v>35</v>
      </c>
      <c r="D114" s="43" t="s">
        <v>1114</v>
      </c>
      <c r="F114" s="24" t="s">
        <v>13</v>
      </c>
      <c r="G114" s="3"/>
      <c r="H114" s="3"/>
      <c r="I114" s="3"/>
    </row>
    <row r="115" spans="3:9" ht="15.7" customHeight="1" x14ac:dyDescent="0.3">
      <c r="C115" s="20">
        <v>36</v>
      </c>
      <c r="D115" s="43" t="s">
        <v>1115</v>
      </c>
      <c r="F115" s="24" t="s">
        <v>13</v>
      </c>
      <c r="G115" s="3"/>
      <c r="H115" s="3"/>
      <c r="I115" s="3"/>
    </row>
    <row r="116" spans="3:9" ht="15.7" customHeight="1" x14ac:dyDescent="0.3">
      <c r="C116" s="20">
        <v>37</v>
      </c>
      <c r="D116" s="43" t="s">
        <v>1116</v>
      </c>
      <c r="F116" s="24" t="s">
        <v>13</v>
      </c>
      <c r="G116" s="3"/>
      <c r="H116" s="3"/>
      <c r="I116" s="3"/>
    </row>
    <row r="117" spans="3:9" ht="15.7" customHeight="1" x14ac:dyDescent="0.3">
      <c r="C117" s="20">
        <v>38</v>
      </c>
      <c r="D117" s="43" t="s">
        <v>395</v>
      </c>
      <c r="F117" s="24" t="s">
        <v>13</v>
      </c>
      <c r="G117" s="3"/>
      <c r="H117" s="3"/>
      <c r="I117" s="3"/>
    </row>
    <row r="118" spans="3:9" ht="15.7" customHeight="1" x14ac:dyDescent="0.3">
      <c r="C118" s="20">
        <v>39</v>
      </c>
      <c r="D118" s="43" t="s">
        <v>719</v>
      </c>
      <c r="F118" s="24" t="s">
        <v>13</v>
      </c>
      <c r="G118" s="3"/>
      <c r="H118" s="3"/>
      <c r="I118" s="3"/>
    </row>
    <row r="119" spans="3:9" ht="15.7" customHeight="1" x14ac:dyDescent="0.3">
      <c r="C119" s="20">
        <v>40</v>
      </c>
      <c r="D119" s="43" t="s">
        <v>1117</v>
      </c>
      <c r="F119" s="24" t="s">
        <v>13</v>
      </c>
      <c r="G119" s="3"/>
      <c r="H119" s="3"/>
      <c r="I119" s="3"/>
    </row>
    <row r="120" spans="3:9" ht="15.7" customHeight="1" x14ac:dyDescent="0.3">
      <c r="C120" s="20">
        <v>41</v>
      </c>
      <c r="D120" s="43" t="s">
        <v>393</v>
      </c>
      <c r="F120" s="24" t="s">
        <v>13</v>
      </c>
      <c r="G120" s="3"/>
      <c r="H120" s="3"/>
      <c r="I120" s="3"/>
    </row>
    <row r="121" spans="3:9" ht="15.7" customHeight="1" x14ac:dyDescent="0.3">
      <c r="C121" s="20">
        <v>42</v>
      </c>
      <c r="D121" s="43" t="s">
        <v>721</v>
      </c>
      <c r="F121" s="24" t="s">
        <v>13</v>
      </c>
      <c r="G121" s="3"/>
      <c r="H121" s="3"/>
      <c r="I121" s="3"/>
    </row>
    <row r="122" spans="3:9" ht="15.7" customHeight="1" x14ac:dyDescent="0.3">
      <c r="C122" s="20">
        <v>43</v>
      </c>
      <c r="D122" s="43" t="s">
        <v>722</v>
      </c>
      <c r="F122" s="24" t="s">
        <v>13</v>
      </c>
      <c r="G122" s="3"/>
      <c r="H122" s="3"/>
      <c r="I122" s="3"/>
    </row>
    <row r="123" spans="3:9" ht="15.7" customHeight="1" x14ac:dyDescent="0.3">
      <c r="C123" s="20">
        <v>44</v>
      </c>
      <c r="D123" s="43" t="s">
        <v>1118</v>
      </c>
      <c r="F123" s="24" t="s">
        <v>13</v>
      </c>
      <c r="G123" s="3"/>
      <c r="H123" s="3"/>
      <c r="I123" s="3"/>
    </row>
    <row r="124" spans="3:9" ht="15.7" customHeight="1" x14ac:dyDescent="0.3">
      <c r="C124" s="20">
        <v>45</v>
      </c>
      <c r="D124" s="43" t="s">
        <v>163</v>
      </c>
      <c r="F124" s="24" t="s">
        <v>13</v>
      </c>
      <c r="G124" s="3"/>
      <c r="H124" s="3"/>
      <c r="I124" s="3"/>
    </row>
    <row r="125" spans="3:9" ht="15.7" customHeight="1" x14ac:dyDescent="0.3">
      <c r="C125" s="20">
        <v>46</v>
      </c>
      <c r="D125" s="43" t="s">
        <v>1119</v>
      </c>
      <c r="F125" s="24" t="s">
        <v>13</v>
      </c>
      <c r="G125" s="3"/>
      <c r="H125" s="3"/>
      <c r="I125" s="3"/>
    </row>
    <row r="126" spans="3:9" ht="15.7" customHeight="1" x14ac:dyDescent="0.3">
      <c r="C126" s="20">
        <v>47</v>
      </c>
      <c r="D126" s="43" t="s">
        <v>1120</v>
      </c>
      <c r="F126" s="24" t="s">
        <v>13</v>
      </c>
      <c r="G126" s="3"/>
      <c r="H126" s="3"/>
      <c r="I126" s="3"/>
    </row>
    <row r="127" spans="3:9" ht="15.7" customHeight="1" x14ac:dyDescent="0.3">
      <c r="C127" s="20">
        <v>48</v>
      </c>
      <c r="D127" s="43" t="s">
        <v>1121</v>
      </c>
      <c r="F127" s="24" t="s">
        <v>13</v>
      </c>
      <c r="G127" s="3"/>
      <c r="H127" s="3"/>
      <c r="I127" s="3"/>
    </row>
    <row r="128" spans="3:9" ht="15.7" customHeight="1" x14ac:dyDescent="0.3">
      <c r="C128" s="20">
        <v>49</v>
      </c>
      <c r="D128" s="43" t="s">
        <v>854</v>
      </c>
      <c r="F128" s="24" t="s">
        <v>13</v>
      </c>
      <c r="G128" s="3"/>
      <c r="H128" s="3"/>
      <c r="I128" s="3"/>
    </row>
    <row r="129" spans="3:9" ht="15.7" customHeight="1" x14ac:dyDescent="0.3">
      <c r="C129" s="20">
        <v>50</v>
      </c>
      <c r="D129" s="43" t="s">
        <v>1122</v>
      </c>
      <c r="F129" s="24" t="s">
        <v>13</v>
      </c>
      <c r="G129" s="3"/>
      <c r="H129" s="3"/>
      <c r="I129" s="3"/>
    </row>
    <row r="130" spans="3:9" ht="15.7" customHeight="1" x14ac:dyDescent="0.3">
      <c r="C130" s="20">
        <v>51</v>
      </c>
      <c r="D130" s="43" t="s">
        <v>1123</v>
      </c>
      <c r="F130" s="24" t="s">
        <v>13</v>
      </c>
      <c r="G130" s="3"/>
      <c r="H130" s="3"/>
      <c r="I130" s="3"/>
    </row>
    <row r="131" spans="3:9" ht="15.7" customHeight="1" x14ac:dyDescent="0.3">
      <c r="C131" s="20">
        <v>52</v>
      </c>
      <c r="D131" s="43" t="s">
        <v>1124</v>
      </c>
      <c r="F131" s="24" t="s">
        <v>13</v>
      </c>
      <c r="G131" s="3"/>
      <c r="H131" s="3"/>
      <c r="I131" s="3"/>
    </row>
    <row r="132" spans="3:9" ht="15.7" customHeight="1" x14ac:dyDescent="0.3"/>
    <row r="133" spans="3:9" ht="15.7" customHeight="1" x14ac:dyDescent="0.3"/>
    <row r="134" spans="3:9" ht="15.7" customHeight="1" x14ac:dyDescent="0.3"/>
    <row r="135" spans="3:9" ht="15.7" customHeight="1" x14ac:dyDescent="0.3"/>
    <row r="136" spans="3:9" ht="15.7" customHeight="1" x14ac:dyDescent="0.3"/>
    <row r="137" spans="3:9" ht="15.7" customHeight="1" x14ac:dyDescent="0.3"/>
    <row r="138" spans="3:9" ht="15.7" customHeight="1" x14ac:dyDescent="0.3"/>
    <row r="139" spans="3:9" ht="15.7" customHeight="1" x14ac:dyDescent="0.3"/>
    <row r="140" spans="3:9" ht="15.7" customHeight="1" x14ac:dyDescent="0.3"/>
    <row r="141" spans="3:9" ht="15.7" customHeight="1" x14ac:dyDescent="0.3"/>
    <row r="142" spans="3:9" ht="15.7" customHeight="1" x14ac:dyDescent="0.3"/>
    <row r="143" spans="3:9" ht="15.7" customHeight="1" x14ac:dyDescent="0.3"/>
    <row r="144" spans="3:9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</sheetData>
  <mergeCells count="4">
    <mergeCell ref="B2:I2"/>
    <mergeCell ref="F8:H8"/>
    <mergeCell ref="C9:D9"/>
    <mergeCell ref="C79:D7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6337778862885"/>
  </sheetPr>
  <dimension ref="B1:I1044"/>
  <sheetViews>
    <sheetView topLeftCell="A91" workbookViewId="0"/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1299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43" t="s">
        <v>1125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43" t="s">
        <v>1126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43" t="s">
        <v>1127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43" t="s">
        <v>1128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43" t="s">
        <v>1129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43" t="s">
        <v>1130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43" t="s">
        <v>1131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43" t="s">
        <v>1132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43" t="s">
        <v>1133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43" t="s">
        <v>1134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43" t="s">
        <v>1135</v>
      </c>
      <c r="F20" s="24" t="s">
        <v>12</v>
      </c>
      <c r="G20" s="3"/>
      <c r="H20" s="3"/>
      <c r="I20" s="3"/>
    </row>
    <row r="21" spans="3:9" x14ac:dyDescent="0.3">
      <c r="C21" s="20">
        <v>12</v>
      </c>
      <c r="D21" s="43" t="s">
        <v>1136</v>
      </c>
      <c r="F21" s="24" t="s">
        <v>12</v>
      </c>
      <c r="G21" s="3"/>
      <c r="H21" s="3"/>
      <c r="I21" s="3"/>
    </row>
    <row r="22" spans="3:9" x14ac:dyDescent="0.3">
      <c r="C22" s="20">
        <v>13</v>
      </c>
      <c r="D22" s="43" t="s">
        <v>1137</v>
      </c>
      <c r="F22" s="24" t="s">
        <v>12</v>
      </c>
      <c r="G22" s="3"/>
      <c r="H22" s="3"/>
      <c r="I22" s="3"/>
    </row>
    <row r="23" spans="3:9" x14ac:dyDescent="0.3">
      <c r="C23" s="20">
        <v>14</v>
      </c>
      <c r="D23" s="43" t="s">
        <v>1138</v>
      </c>
      <c r="F23" s="24" t="s">
        <v>12</v>
      </c>
      <c r="G23" s="3"/>
      <c r="H23" s="3"/>
      <c r="I23" s="3"/>
    </row>
    <row r="24" spans="3:9" x14ac:dyDescent="0.3">
      <c r="C24" s="20">
        <v>15</v>
      </c>
      <c r="D24" s="43" t="s">
        <v>1139</v>
      </c>
      <c r="F24" s="24" t="s">
        <v>12</v>
      </c>
      <c r="G24" s="3"/>
      <c r="H24" s="3"/>
      <c r="I24" s="3"/>
    </row>
    <row r="25" spans="3:9" x14ac:dyDescent="0.3">
      <c r="C25" s="20">
        <v>16</v>
      </c>
      <c r="D25" s="43" t="s">
        <v>1140</v>
      </c>
      <c r="F25" s="24" t="s">
        <v>12</v>
      </c>
      <c r="G25" s="3"/>
      <c r="H25" s="3"/>
      <c r="I25" s="3"/>
    </row>
    <row r="26" spans="3:9" x14ac:dyDescent="0.3">
      <c r="C26" s="20">
        <v>17</v>
      </c>
      <c r="D26" s="43" t="s">
        <v>1141</v>
      </c>
      <c r="F26" s="24" t="s">
        <v>12</v>
      </c>
      <c r="G26" s="3"/>
      <c r="H26" s="3"/>
      <c r="I26" s="3"/>
    </row>
    <row r="27" spans="3:9" x14ac:dyDescent="0.3">
      <c r="C27" s="20">
        <v>18</v>
      </c>
      <c r="D27" s="43" t="s">
        <v>1142</v>
      </c>
      <c r="F27" s="24" t="s">
        <v>12</v>
      </c>
      <c r="G27" s="3"/>
      <c r="H27" s="3"/>
      <c r="I27" s="3"/>
    </row>
    <row r="28" spans="3:9" x14ac:dyDescent="0.3">
      <c r="C28" s="20">
        <v>19</v>
      </c>
      <c r="D28" s="43" t="s">
        <v>1143</v>
      </c>
      <c r="F28" s="24" t="s">
        <v>12</v>
      </c>
      <c r="G28" s="3"/>
      <c r="H28" s="3"/>
      <c r="I28" s="3"/>
    </row>
    <row r="29" spans="3:9" x14ac:dyDescent="0.3">
      <c r="C29" s="20">
        <v>20</v>
      </c>
      <c r="D29" s="43" t="s">
        <v>1144</v>
      </c>
      <c r="F29" s="24" t="s">
        <v>12</v>
      </c>
      <c r="G29" s="3"/>
      <c r="H29" s="3"/>
      <c r="I29" s="3"/>
    </row>
    <row r="30" spans="3:9" x14ac:dyDescent="0.3">
      <c r="C30" s="20">
        <v>21</v>
      </c>
      <c r="D30" s="43" t="s">
        <v>1145</v>
      </c>
      <c r="F30" s="24" t="s">
        <v>12</v>
      </c>
      <c r="G30" s="3"/>
      <c r="H30" s="3"/>
      <c r="I30" s="3"/>
    </row>
    <row r="31" spans="3:9" x14ac:dyDescent="0.3">
      <c r="C31" s="20">
        <v>22</v>
      </c>
      <c r="D31" s="43" t="s">
        <v>1146</v>
      </c>
      <c r="F31" s="24" t="s">
        <v>12</v>
      </c>
      <c r="G31" s="3"/>
      <c r="H31" s="3"/>
      <c r="I31" s="3"/>
    </row>
    <row r="32" spans="3:9" x14ac:dyDescent="0.3">
      <c r="C32" s="20">
        <v>23</v>
      </c>
      <c r="D32" s="43" t="s">
        <v>1147</v>
      </c>
      <c r="F32" s="24" t="s">
        <v>12</v>
      </c>
      <c r="G32" s="3"/>
      <c r="H32" s="3"/>
      <c r="I32" s="3"/>
    </row>
    <row r="33" spans="3:9" ht="15.7" customHeight="1" x14ac:dyDescent="0.3">
      <c r="C33" s="20">
        <v>24</v>
      </c>
      <c r="D33" s="43" t="s">
        <v>1148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43" t="s">
        <v>1149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43" t="s">
        <v>1150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43" t="s">
        <v>1151</v>
      </c>
      <c r="F36" s="24" t="s">
        <v>12</v>
      </c>
      <c r="G36" s="3"/>
      <c r="H36" s="3"/>
      <c r="I36" s="3"/>
    </row>
    <row r="37" spans="3:9" ht="15.7" customHeight="1" x14ac:dyDescent="0.3">
      <c r="C37" s="20">
        <v>28</v>
      </c>
      <c r="D37" s="43" t="s">
        <v>1152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43" t="s">
        <v>1153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43" t="s">
        <v>1154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43" t="s">
        <v>1155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43" t="s">
        <v>1156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43" t="s">
        <v>1157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43" t="s">
        <v>1158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43" t="s">
        <v>1159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43" t="s">
        <v>1160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43" t="s">
        <v>1161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43" t="s">
        <v>1162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43" t="s">
        <v>1163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43" t="s">
        <v>1164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43" t="s">
        <v>1165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43" t="s">
        <v>1166</v>
      </c>
      <c r="F51" s="24" t="s">
        <v>12</v>
      </c>
      <c r="G51" s="3"/>
      <c r="H51" s="3"/>
      <c r="I51" s="3"/>
    </row>
    <row r="52" spans="3:9" ht="15.7" customHeight="1" x14ac:dyDescent="0.3">
      <c r="C52" s="20">
        <v>43</v>
      </c>
      <c r="D52" s="43" t="s">
        <v>1167</v>
      </c>
      <c r="F52" s="24" t="s">
        <v>12</v>
      </c>
      <c r="G52" s="3"/>
      <c r="H52" s="3"/>
      <c r="I52" s="3"/>
    </row>
    <row r="53" spans="3:9" ht="15.7" customHeight="1" x14ac:dyDescent="0.3">
      <c r="C53" s="20">
        <v>44</v>
      </c>
      <c r="D53" s="43" t="s">
        <v>1168</v>
      </c>
      <c r="F53" s="24" t="s">
        <v>12</v>
      </c>
      <c r="G53" s="3"/>
      <c r="H53" s="3"/>
      <c r="I53" s="3"/>
    </row>
    <row r="54" spans="3:9" ht="15.7" customHeight="1" x14ac:dyDescent="0.3">
      <c r="C54" s="20">
        <v>45</v>
      </c>
      <c r="D54" s="43" t="s">
        <v>1169</v>
      </c>
      <c r="F54" s="24" t="s">
        <v>12</v>
      </c>
      <c r="G54" s="3"/>
      <c r="H54" s="3"/>
      <c r="I54" s="3"/>
    </row>
    <row r="55" spans="3:9" ht="15.7" customHeight="1" x14ac:dyDescent="0.3">
      <c r="C55" s="20">
        <v>46</v>
      </c>
      <c r="D55" s="43" t="s">
        <v>1170</v>
      </c>
      <c r="F55" s="24" t="s">
        <v>12</v>
      </c>
      <c r="G55" s="3"/>
      <c r="H55" s="3"/>
      <c r="I55" s="3"/>
    </row>
    <row r="56" spans="3:9" ht="15.7" customHeight="1" x14ac:dyDescent="0.3">
      <c r="C56" s="20">
        <v>47</v>
      </c>
      <c r="D56" s="43" t="s">
        <v>1171</v>
      </c>
      <c r="F56" s="24" t="s">
        <v>12</v>
      </c>
      <c r="G56" s="3"/>
      <c r="H56" s="3"/>
      <c r="I56" s="3"/>
    </row>
    <row r="57" spans="3:9" ht="15.7" customHeight="1" x14ac:dyDescent="0.3">
      <c r="C57" s="20">
        <v>48</v>
      </c>
      <c r="D57" s="43" t="s">
        <v>1172</v>
      </c>
      <c r="F57" s="24" t="s">
        <v>12</v>
      </c>
      <c r="G57" s="3"/>
      <c r="H57" s="3"/>
      <c r="I57" s="3"/>
    </row>
    <row r="58" spans="3:9" ht="15.7" customHeight="1" x14ac:dyDescent="0.3">
      <c r="C58" s="20">
        <v>49</v>
      </c>
      <c r="D58" s="43" t="s">
        <v>1173</v>
      </c>
      <c r="F58" s="24" t="s">
        <v>12</v>
      </c>
      <c r="G58" s="3"/>
      <c r="H58" s="3"/>
      <c r="I58" s="3"/>
    </row>
    <row r="59" spans="3:9" ht="15.7" customHeight="1" x14ac:dyDescent="0.3">
      <c r="C59" s="20">
        <v>50</v>
      </c>
      <c r="D59" s="43" t="s">
        <v>1174</v>
      </c>
      <c r="F59" s="24" t="s">
        <v>12</v>
      </c>
      <c r="G59" s="3"/>
      <c r="H59" s="3"/>
      <c r="I59" s="3"/>
    </row>
    <row r="60" spans="3:9" ht="15.7" customHeight="1" x14ac:dyDescent="0.3">
      <c r="C60" s="20">
        <v>51</v>
      </c>
      <c r="D60" s="43" t="s">
        <v>1175</v>
      </c>
      <c r="F60" s="24" t="s">
        <v>12</v>
      </c>
      <c r="G60" s="3"/>
      <c r="H60" s="3"/>
      <c r="I60" s="3"/>
    </row>
    <row r="61" spans="3:9" ht="15.7" customHeight="1" x14ac:dyDescent="0.3">
      <c r="C61" s="20">
        <v>52</v>
      </c>
      <c r="D61" s="43" t="s">
        <v>1176</v>
      </c>
      <c r="F61" s="24" t="s">
        <v>12</v>
      </c>
      <c r="G61" s="3"/>
      <c r="H61" s="3"/>
      <c r="I61" s="3"/>
    </row>
    <row r="62" spans="3:9" ht="15.7" customHeight="1" x14ac:dyDescent="0.3">
      <c r="C62" s="20">
        <v>53</v>
      </c>
      <c r="D62" s="43" t="s">
        <v>1177</v>
      </c>
      <c r="F62" s="24" t="s">
        <v>12</v>
      </c>
      <c r="G62" s="3"/>
      <c r="H62" s="3"/>
      <c r="I62" s="3"/>
    </row>
    <row r="63" spans="3:9" ht="15.7" customHeight="1" x14ac:dyDescent="0.3">
      <c r="C63" s="20">
        <v>54</v>
      </c>
      <c r="D63" s="43" t="s">
        <v>1178</v>
      </c>
      <c r="F63" s="24" t="s">
        <v>12</v>
      </c>
      <c r="G63" s="3"/>
      <c r="H63" s="3"/>
      <c r="I63" s="3"/>
    </row>
    <row r="64" spans="3:9" ht="15.7" customHeight="1" x14ac:dyDescent="0.3"/>
    <row r="65" spans="3:9" ht="15.7" customHeight="1" x14ac:dyDescent="0.3">
      <c r="C65" s="88" t="s">
        <v>14</v>
      </c>
      <c r="D65" s="70"/>
      <c r="F65" s="6" t="s">
        <v>1</v>
      </c>
      <c r="G65" s="6" t="s">
        <v>3</v>
      </c>
      <c r="H65" s="6" t="s">
        <v>5</v>
      </c>
      <c r="I65" s="6" t="s">
        <v>10</v>
      </c>
    </row>
    <row r="66" spans="3:9" ht="15.7" customHeight="1" x14ac:dyDescent="0.3">
      <c r="C66" s="36">
        <v>1</v>
      </c>
      <c r="D66" s="43" t="s">
        <v>1179</v>
      </c>
      <c r="F66" s="24" t="s">
        <v>12</v>
      </c>
      <c r="G66" s="3"/>
      <c r="H66" s="3"/>
      <c r="I66" s="3"/>
    </row>
    <row r="67" spans="3:9" ht="15.7" customHeight="1" x14ac:dyDescent="0.3">
      <c r="C67" s="34">
        <v>2</v>
      </c>
      <c r="D67" s="43" t="s">
        <v>1180</v>
      </c>
      <c r="F67" s="24" t="s">
        <v>12</v>
      </c>
      <c r="G67" s="3"/>
      <c r="H67" s="3"/>
      <c r="I67" s="3"/>
    </row>
    <row r="68" spans="3:9" ht="15.7" customHeight="1" x14ac:dyDescent="0.3">
      <c r="C68" s="31">
        <v>3</v>
      </c>
      <c r="D68" s="43" t="s">
        <v>1181</v>
      </c>
      <c r="F68" s="24" t="s">
        <v>12</v>
      </c>
      <c r="G68" s="3"/>
      <c r="H68" s="3"/>
      <c r="I68" s="3"/>
    </row>
    <row r="69" spans="3:9" ht="15.7" customHeight="1" x14ac:dyDescent="0.3">
      <c r="C69" s="36">
        <v>4</v>
      </c>
      <c r="D69" s="43" t="s">
        <v>1182</v>
      </c>
      <c r="F69" s="24" t="s">
        <v>12</v>
      </c>
      <c r="G69" s="3"/>
      <c r="H69" s="3"/>
      <c r="I69" s="3"/>
    </row>
    <row r="70" spans="3:9" ht="15.7" customHeight="1" x14ac:dyDescent="0.3">
      <c r="C70" s="34">
        <v>5</v>
      </c>
      <c r="D70" s="43" t="s">
        <v>1183</v>
      </c>
      <c r="F70" s="24" t="s">
        <v>12</v>
      </c>
      <c r="G70" s="3"/>
      <c r="H70" s="3"/>
      <c r="I70" s="3"/>
    </row>
    <row r="71" spans="3:9" ht="15.7" customHeight="1" x14ac:dyDescent="0.3">
      <c r="C71" s="31">
        <v>6</v>
      </c>
      <c r="D71" s="43" t="s">
        <v>1184</v>
      </c>
      <c r="F71" s="24" t="s">
        <v>12</v>
      </c>
      <c r="G71" s="3"/>
      <c r="H71" s="3"/>
      <c r="I71" s="3"/>
    </row>
    <row r="72" spans="3:9" ht="15.7" customHeight="1" x14ac:dyDescent="0.3">
      <c r="C72" s="36">
        <v>7</v>
      </c>
      <c r="D72" s="43" t="s">
        <v>1185</v>
      </c>
      <c r="F72" s="24" t="s">
        <v>12</v>
      </c>
      <c r="G72" s="3"/>
      <c r="H72" s="3"/>
      <c r="I72" s="3"/>
    </row>
    <row r="73" spans="3:9" ht="15.7" customHeight="1" x14ac:dyDescent="0.3">
      <c r="C73" s="34">
        <v>8</v>
      </c>
      <c r="D73" s="43" t="s">
        <v>1186</v>
      </c>
      <c r="F73" s="24" t="s">
        <v>12</v>
      </c>
      <c r="G73" s="3"/>
      <c r="H73" s="3"/>
      <c r="I73" s="3"/>
    </row>
    <row r="74" spans="3:9" ht="15.7" customHeight="1" x14ac:dyDescent="0.3">
      <c r="C74" s="31">
        <v>9</v>
      </c>
      <c r="D74" s="43" t="s">
        <v>1187</v>
      </c>
      <c r="F74" s="24" t="s">
        <v>12</v>
      </c>
      <c r="G74" s="3"/>
      <c r="H74" s="3"/>
      <c r="I74" s="3"/>
    </row>
    <row r="75" spans="3:9" ht="15.7" customHeight="1" x14ac:dyDescent="0.3">
      <c r="C75" s="36">
        <v>10</v>
      </c>
      <c r="D75" s="43" t="s">
        <v>1188</v>
      </c>
      <c r="F75" s="24" t="s">
        <v>12</v>
      </c>
      <c r="G75" s="3"/>
      <c r="H75" s="3"/>
      <c r="I75" s="3"/>
    </row>
    <row r="76" spans="3:9" ht="15.7" customHeight="1" x14ac:dyDescent="0.3">
      <c r="C76" s="34">
        <v>11</v>
      </c>
      <c r="D76" s="43" t="s">
        <v>1189</v>
      </c>
      <c r="F76" s="24" t="s">
        <v>12</v>
      </c>
      <c r="G76" s="3"/>
      <c r="H76" s="3"/>
      <c r="I76" s="3"/>
    </row>
    <row r="77" spans="3:9" ht="15.7" customHeight="1" x14ac:dyDescent="0.3">
      <c r="C77" s="31">
        <v>12</v>
      </c>
      <c r="D77" s="43" t="s">
        <v>1190</v>
      </c>
      <c r="F77" s="24" t="s">
        <v>12</v>
      </c>
      <c r="G77" s="3"/>
      <c r="H77" s="3"/>
      <c r="I77" s="3"/>
    </row>
    <row r="78" spans="3:9" ht="15.7" customHeight="1" x14ac:dyDescent="0.3">
      <c r="C78" s="36">
        <v>13</v>
      </c>
      <c r="D78" s="43" t="s">
        <v>1191</v>
      </c>
      <c r="F78" s="24" t="s">
        <v>12</v>
      </c>
      <c r="G78" s="3"/>
      <c r="H78" s="3"/>
      <c r="I78" s="3"/>
    </row>
    <row r="79" spans="3:9" ht="15.7" customHeight="1" x14ac:dyDescent="0.3">
      <c r="C79" s="34">
        <v>14</v>
      </c>
      <c r="D79" s="43" t="s">
        <v>1192</v>
      </c>
      <c r="F79" s="24" t="s">
        <v>12</v>
      </c>
      <c r="G79" s="3"/>
      <c r="H79" s="3"/>
      <c r="I79" s="3"/>
    </row>
    <row r="80" spans="3:9" ht="15.7" customHeight="1" x14ac:dyDescent="0.3">
      <c r="C80" s="31">
        <v>15</v>
      </c>
      <c r="D80" s="43" t="s">
        <v>1193</v>
      </c>
      <c r="F80" s="24" t="s">
        <v>12</v>
      </c>
      <c r="G80" s="3"/>
      <c r="H80" s="3"/>
      <c r="I80" s="3"/>
    </row>
    <row r="81" spans="3:9" ht="15.7" customHeight="1" x14ac:dyDescent="0.3">
      <c r="C81" s="36">
        <v>16</v>
      </c>
      <c r="D81" s="43" t="s">
        <v>1194</v>
      </c>
      <c r="F81" s="24" t="s">
        <v>12</v>
      </c>
      <c r="G81" s="3"/>
      <c r="H81" s="3"/>
      <c r="I81" s="3"/>
    </row>
    <row r="82" spans="3:9" ht="15.7" customHeight="1" x14ac:dyDescent="0.3">
      <c r="C82" s="34">
        <v>17</v>
      </c>
      <c r="D82" s="43" t="s">
        <v>1195</v>
      </c>
      <c r="F82" s="24" t="s">
        <v>12</v>
      </c>
      <c r="G82" s="3"/>
      <c r="H82" s="3"/>
      <c r="I82" s="3"/>
    </row>
    <row r="83" spans="3:9" ht="15.7" customHeight="1" x14ac:dyDescent="0.3">
      <c r="C83" s="31">
        <v>18</v>
      </c>
      <c r="D83" s="43" t="s">
        <v>1196</v>
      </c>
      <c r="F83" s="24" t="s">
        <v>12</v>
      </c>
      <c r="G83" s="3"/>
      <c r="H83" s="3"/>
      <c r="I83" s="3"/>
    </row>
    <row r="84" spans="3:9" ht="15.7" customHeight="1" x14ac:dyDescent="0.3">
      <c r="C84" s="36">
        <v>19</v>
      </c>
      <c r="D84" s="43" t="s">
        <v>1197</v>
      </c>
      <c r="F84" s="24" t="s">
        <v>12</v>
      </c>
      <c r="G84" s="3"/>
      <c r="H84" s="3"/>
      <c r="I84" s="3"/>
    </row>
    <row r="85" spans="3:9" ht="15.7" customHeight="1" x14ac:dyDescent="0.3">
      <c r="C85" s="34">
        <v>20</v>
      </c>
      <c r="D85" s="43" t="s">
        <v>1198</v>
      </c>
      <c r="F85" s="24" t="s">
        <v>12</v>
      </c>
      <c r="G85" s="3"/>
      <c r="H85" s="3"/>
      <c r="I85" s="3"/>
    </row>
    <row r="86" spans="3:9" ht="15.7" customHeight="1" x14ac:dyDescent="0.3">
      <c r="C86" s="31">
        <v>21</v>
      </c>
      <c r="D86" s="43" t="s">
        <v>1199</v>
      </c>
      <c r="F86" s="24" t="s">
        <v>12</v>
      </c>
      <c r="G86" s="3"/>
      <c r="H86" s="3"/>
      <c r="I86" s="3"/>
    </row>
    <row r="87" spans="3:9" ht="15.7" customHeight="1" x14ac:dyDescent="0.3">
      <c r="C87" s="36">
        <v>22</v>
      </c>
      <c r="D87" s="43" t="s">
        <v>1006</v>
      </c>
      <c r="F87" s="24" t="s">
        <v>12</v>
      </c>
      <c r="G87" s="3"/>
      <c r="H87" s="3"/>
      <c r="I87" s="3"/>
    </row>
    <row r="88" spans="3:9" ht="15.7" customHeight="1" x14ac:dyDescent="0.3">
      <c r="C88" s="34">
        <v>23</v>
      </c>
      <c r="D88" s="43" t="s">
        <v>1200</v>
      </c>
      <c r="F88" s="24" t="s">
        <v>12</v>
      </c>
      <c r="G88" s="3"/>
      <c r="H88" s="3"/>
      <c r="I88" s="3"/>
    </row>
    <row r="89" spans="3:9" ht="15.7" customHeight="1" x14ac:dyDescent="0.3">
      <c r="C89" s="31">
        <v>24</v>
      </c>
      <c r="D89" s="43" t="s">
        <v>1201</v>
      </c>
      <c r="F89" s="24" t="s">
        <v>12</v>
      </c>
      <c r="G89" s="3"/>
      <c r="H89" s="3"/>
      <c r="I89" s="3"/>
    </row>
    <row r="90" spans="3:9" ht="15.7" customHeight="1" x14ac:dyDescent="0.3">
      <c r="C90" s="36">
        <v>25</v>
      </c>
      <c r="D90" s="43" t="s">
        <v>1202</v>
      </c>
      <c r="F90" s="24" t="s">
        <v>12</v>
      </c>
      <c r="G90" s="3"/>
      <c r="H90" s="3"/>
      <c r="I90" s="3"/>
    </row>
    <row r="91" spans="3:9" ht="15.7" customHeight="1" x14ac:dyDescent="0.3">
      <c r="C91" s="34">
        <v>26</v>
      </c>
      <c r="D91" s="43" t="s">
        <v>1203</v>
      </c>
      <c r="F91" s="24" t="s">
        <v>12</v>
      </c>
      <c r="G91" s="3"/>
      <c r="H91" s="3"/>
      <c r="I91" s="3"/>
    </row>
    <row r="92" spans="3:9" ht="15.7" customHeight="1" x14ac:dyDescent="0.3">
      <c r="C92" s="31">
        <v>27</v>
      </c>
      <c r="D92" s="43" t="s">
        <v>17</v>
      </c>
      <c r="F92" s="24" t="s">
        <v>12</v>
      </c>
      <c r="G92" s="3"/>
      <c r="H92" s="3"/>
      <c r="I92" s="3"/>
    </row>
    <row r="93" spans="3:9" ht="15.7" customHeight="1" x14ac:dyDescent="0.3">
      <c r="C93" s="36">
        <v>28</v>
      </c>
      <c r="D93" s="43" t="s">
        <v>1204</v>
      </c>
      <c r="F93" s="24" t="s">
        <v>12</v>
      </c>
      <c r="G93" s="3"/>
      <c r="H93" s="3"/>
      <c r="I93" s="3"/>
    </row>
    <row r="94" spans="3:9" ht="15.7" customHeight="1" x14ac:dyDescent="0.3">
      <c r="C94" s="34">
        <v>29</v>
      </c>
      <c r="D94" s="43" t="s">
        <v>718</v>
      </c>
      <c r="F94" s="24" t="s">
        <v>12</v>
      </c>
      <c r="G94" s="3"/>
      <c r="H94" s="3"/>
      <c r="I94" s="3"/>
    </row>
    <row r="95" spans="3:9" ht="15.7" customHeight="1" x14ac:dyDescent="0.3">
      <c r="C95" s="31">
        <v>30</v>
      </c>
      <c r="D95" s="43" t="s">
        <v>719</v>
      </c>
      <c r="F95" s="24"/>
      <c r="G95" s="3"/>
      <c r="H95" s="3"/>
      <c r="I95" s="3"/>
    </row>
    <row r="96" spans="3:9" ht="15.7" customHeight="1" x14ac:dyDescent="0.3">
      <c r="C96" s="36">
        <v>31</v>
      </c>
      <c r="D96" s="43" t="s">
        <v>1205</v>
      </c>
      <c r="F96" s="24"/>
      <c r="G96" s="3"/>
      <c r="H96" s="3"/>
      <c r="I96" s="3"/>
    </row>
    <row r="97" spans="3:9" ht="15.7" customHeight="1" x14ac:dyDescent="0.3">
      <c r="C97" s="34">
        <v>32</v>
      </c>
      <c r="D97" s="43" t="s">
        <v>393</v>
      </c>
      <c r="F97" s="24"/>
      <c r="G97" s="3"/>
      <c r="H97" s="3"/>
      <c r="I97" s="3"/>
    </row>
    <row r="98" spans="3:9" ht="15.7" customHeight="1" x14ac:dyDescent="0.3">
      <c r="C98" s="31">
        <v>33</v>
      </c>
      <c r="D98" s="43" t="s">
        <v>839</v>
      </c>
      <c r="F98" s="24"/>
      <c r="G98" s="3"/>
      <c r="H98" s="3"/>
      <c r="I98" s="3"/>
    </row>
    <row r="99" spans="3:9" ht="15.7" customHeight="1" x14ac:dyDescent="0.3">
      <c r="C99" s="36">
        <v>34</v>
      </c>
      <c r="D99" s="43" t="s">
        <v>1206</v>
      </c>
      <c r="F99" s="24"/>
      <c r="G99" s="3"/>
      <c r="H99" s="3"/>
      <c r="I99" s="3"/>
    </row>
    <row r="100" spans="3:9" ht="15.7" customHeight="1" x14ac:dyDescent="0.3">
      <c r="C100" s="34">
        <v>35</v>
      </c>
      <c r="D100" s="43" t="s">
        <v>722</v>
      </c>
      <c r="F100" s="24"/>
      <c r="G100" s="3"/>
      <c r="H100" s="3"/>
      <c r="I100" s="3"/>
    </row>
    <row r="101" spans="3:9" ht="15.7" customHeight="1" x14ac:dyDescent="0.3">
      <c r="C101" s="31">
        <v>36</v>
      </c>
      <c r="D101" s="43" t="s">
        <v>1207</v>
      </c>
      <c r="F101" s="24"/>
      <c r="G101" s="3"/>
      <c r="H101" s="3"/>
      <c r="I101" s="3"/>
    </row>
    <row r="102" spans="3:9" ht="15.7" customHeight="1" x14ac:dyDescent="0.3">
      <c r="C102" s="36">
        <v>37</v>
      </c>
      <c r="D102" s="43" t="s">
        <v>1208</v>
      </c>
      <c r="F102" s="24"/>
      <c r="G102" s="3"/>
      <c r="H102" s="3"/>
      <c r="I102" s="3"/>
    </row>
    <row r="103" spans="3:9" ht="15.7" customHeight="1" x14ac:dyDescent="0.3">
      <c r="C103" s="34">
        <v>38</v>
      </c>
      <c r="D103" s="43" t="s">
        <v>1209</v>
      </c>
      <c r="F103" s="24"/>
      <c r="G103" s="3"/>
      <c r="H103" s="3"/>
      <c r="I103" s="3"/>
    </row>
    <row r="104" spans="3:9" ht="15.7" customHeight="1" x14ac:dyDescent="0.3">
      <c r="C104" s="31">
        <v>39</v>
      </c>
      <c r="D104" s="43" t="s">
        <v>1210</v>
      </c>
      <c r="F104" s="24"/>
      <c r="G104" s="3"/>
      <c r="H104" s="3"/>
      <c r="I104" s="3"/>
    </row>
    <row r="105" spans="3:9" ht="15.7" customHeight="1" x14ac:dyDescent="0.3">
      <c r="C105" s="36">
        <v>40</v>
      </c>
      <c r="D105" s="43" t="s">
        <v>1211</v>
      </c>
      <c r="F105" s="24"/>
      <c r="G105" s="3"/>
      <c r="H105" s="3"/>
      <c r="I105" s="3"/>
    </row>
    <row r="106" spans="3:9" ht="15.7" customHeight="1" x14ac:dyDescent="0.3">
      <c r="C106" s="34">
        <v>41</v>
      </c>
      <c r="D106" s="43" t="s">
        <v>1212</v>
      </c>
      <c r="F106" s="24"/>
      <c r="G106" s="3"/>
      <c r="H106" s="3"/>
      <c r="I106" s="3"/>
    </row>
    <row r="107" spans="3:9" ht="15.7" customHeight="1" x14ac:dyDescent="0.3">
      <c r="C107" s="31">
        <v>42</v>
      </c>
      <c r="D107" s="43" t="s">
        <v>1213</v>
      </c>
      <c r="F107" s="24"/>
      <c r="G107" s="3"/>
      <c r="H107" s="3"/>
      <c r="I107" s="3"/>
    </row>
    <row r="108" spans="3:9" ht="15.7" customHeight="1" x14ac:dyDescent="0.3">
      <c r="C108" s="36">
        <v>43</v>
      </c>
      <c r="D108" s="43" t="s">
        <v>1214</v>
      </c>
      <c r="F108" s="24"/>
      <c r="G108" s="3"/>
      <c r="H108" s="3"/>
      <c r="I108" s="3"/>
    </row>
    <row r="109" spans="3:9" ht="15.7" customHeight="1" x14ac:dyDescent="0.3">
      <c r="C109" s="34">
        <v>44</v>
      </c>
      <c r="D109" s="43" t="s">
        <v>1215</v>
      </c>
      <c r="F109" s="24"/>
      <c r="G109" s="3"/>
      <c r="H109" s="3"/>
      <c r="I109" s="3"/>
    </row>
    <row r="110" spans="3:9" ht="15.7" customHeight="1" x14ac:dyDescent="0.3">
      <c r="C110" s="31">
        <v>45</v>
      </c>
      <c r="D110" s="43" t="s">
        <v>1216</v>
      </c>
      <c r="F110" s="24"/>
      <c r="G110" s="3"/>
      <c r="H110" s="3"/>
      <c r="I110" s="3"/>
    </row>
    <row r="111" spans="3:9" ht="15.7" customHeight="1" x14ac:dyDescent="0.3"/>
    <row r="112" spans="3:9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</sheetData>
  <mergeCells count="4">
    <mergeCell ref="B2:I2"/>
    <mergeCell ref="F8:H8"/>
    <mergeCell ref="C9:D9"/>
    <mergeCell ref="C65:D6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59996337778862885"/>
  </sheetPr>
  <dimension ref="B1:I1031"/>
  <sheetViews>
    <sheetView workbookViewId="0">
      <selection activeCell="D1" sqref="D1"/>
    </sheetView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1300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43" t="s">
        <v>1217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43" t="s">
        <v>1218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43" t="s">
        <v>1219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43" t="s">
        <v>1220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43" t="s">
        <v>1221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43" t="s">
        <v>1222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43" t="s">
        <v>1223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43" t="s">
        <v>1224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43" t="s">
        <v>1225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43" t="s">
        <v>1226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43" t="s">
        <v>1227</v>
      </c>
      <c r="F20" s="24" t="s">
        <v>12</v>
      </c>
      <c r="G20" s="3"/>
      <c r="H20" s="3"/>
      <c r="I20" s="3"/>
    </row>
    <row r="21" spans="3:9" ht="15.7" customHeight="1" x14ac:dyDescent="0.3">
      <c r="C21" s="20">
        <v>12</v>
      </c>
      <c r="D21" s="43" t="s">
        <v>1228</v>
      </c>
      <c r="F21" s="24" t="s">
        <v>12</v>
      </c>
      <c r="G21" s="3"/>
      <c r="H21" s="3"/>
      <c r="I21" s="3"/>
    </row>
    <row r="22" spans="3:9" ht="15.7" customHeight="1" x14ac:dyDescent="0.3">
      <c r="C22" s="20">
        <v>13</v>
      </c>
      <c r="D22" s="43" t="s">
        <v>1229</v>
      </c>
      <c r="F22" s="24" t="s">
        <v>12</v>
      </c>
      <c r="G22" s="3"/>
      <c r="H22" s="3"/>
      <c r="I22" s="3"/>
    </row>
    <row r="23" spans="3:9" ht="15.7" customHeight="1" x14ac:dyDescent="0.3">
      <c r="C23" s="20">
        <v>14</v>
      </c>
      <c r="D23" s="43" t="s">
        <v>1230</v>
      </c>
      <c r="F23" s="24" t="s">
        <v>12</v>
      </c>
      <c r="G23" s="3"/>
      <c r="H23" s="3"/>
      <c r="I23" s="3"/>
    </row>
    <row r="24" spans="3:9" ht="15.7" customHeight="1" x14ac:dyDescent="0.3">
      <c r="C24" s="20">
        <v>15</v>
      </c>
      <c r="D24" s="43" t="s">
        <v>1231</v>
      </c>
      <c r="F24" s="24" t="s">
        <v>12</v>
      </c>
      <c r="G24" s="3"/>
      <c r="H24" s="3"/>
      <c r="I24" s="3"/>
    </row>
    <row r="25" spans="3:9" ht="15.7" customHeight="1" x14ac:dyDescent="0.3">
      <c r="C25" s="20">
        <v>16</v>
      </c>
      <c r="D25" s="43" t="s">
        <v>1232</v>
      </c>
      <c r="F25" s="24" t="s">
        <v>12</v>
      </c>
      <c r="G25" s="3"/>
      <c r="H25" s="3"/>
      <c r="I25" s="3"/>
    </row>
    <row r="26" spans="3:9" ht="15.7" customHeight="1" x14ac:dyDescent="0.3">
      <c r="C26" s="20">
        <v>17</v>
      </c>
      <c r="D26" s="43" t="s">
        <v>1233</v>
      </c>
      <c r="F26" s="24" t="s">
        <v>12</v>
      </c>
      <c r="G26" s="3"/>
      <c r="H26" s="3"/>
      <c r="I26" s="3"/>
    </row>
    <row r="27" spans="3:9" ht="15.7" customHeight="1" x14ac:dyDescent="0.3">
      <c r="C27" s="20">
        <v>18</v>
      </c>
      <c r="D27" s="43" t="s">
        <v>1234</v>
      </c>
      <c r="F27" s="24" t="s">
        <v>12</v>
      </c>
      <c r="G27" s="3"/>
      <c r="H27" s="3"/>
      <c r="I27" s="3"/>
    </row>
    <row r="28" spans="3:9" ht="15.7" customHeight="1" x14ac:dyDescent="0.3">
      <c r="C28" s="20">
        <v>19</v>
      </c>
      <c r="D28" s="43" t="s">
        <v>1235</v>
      </c>
      <c r="F28" s="24" t="s">
        <v>12</v>
      </c>
      <c r="G28" s="3"/>
      <c r="H28" s="3"/>
      <c r="I28" s="3"/>
    </row>
    <row r="29" spans="3:9" ht="15.7" customHeight="1" x14ac:dyDescent="0.3">
      <c r="C29" s="20">
        <v>20</v>
      </c>
      <c r="D29" s="43" t="s">
        <v>19</v>
      </c>
      <c r="F29" s="24" t="s">
        <v>12</v>
      </c>
      <c r="G29" s="3"/>
      <c r="H29" s="3"/>
      <c r="I29" s="3"/>
    </row>
    <row r="30" spans="3:9" ht="15.7" customHeight="1" x14ac:dyDescent="0.3">
      <c r="C30" s="20">
        <v>21</v>
      </c>
      <c r="D30" s="43" t="s">
        <v>1236</v>
      </c>
      <c r="F30" s="24" t="s">
        <v>12</v>
      </c>
      <c r="G30" s="3"/>
      <c r="H30" s="3"/>
      <c r="I30" s="3"/>
    </row>
    <row r="31" spans="3:9" ht="15.7" customHeight="1" x14ac:dyDescent="0.3">
      <c r="C31" s="20">
        <v>22</v>
      </c>
      <c r="D31" s="43" t="s">
        <v>1237</v>
      </c>
      <c r="F31" s="24" t="s">
        <v>12</v>
      </c>
      <c r="G31" s="3"/>
      <c r="H31" s="3"/>
      <c r="I31" s="3"/>
    </row>
    <row r="32" spans="3:9" ht="15.7" customHeight="1" x14ac:dyDescent="0.3">
      <c r="C32" s="20">
        <v>23</v>
      </c>
      <c r="D32" s="43" t="s">
        <v>1238</v>
      </c>
      <c r="F32" s="24" t="s">
        <v>12</v>
      </c>
      <c r="G32" s="3"/>
      <c r="H32" s="3"/>
      <c r="I32" s="3"/>
    </row>
    <row r="33" spans="3:9" ht="15.7" customHeight="1" x14ac:dyDescent="0.3">
      <c r="C33" s="20">
        <v>24</v>
      </c>
      <c r="D33" s="43" t="s">
        <v>1239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43" t="s">
        <v>1240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43" t="s">
        <v>1241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43" t="s">
        <v>1242</v>
      </c>
      <c r="F36" s="24" t="s">
        <v>12</v>
      </c>
      <c r="G36" s="3"/>
      <c r="H36" s="3"/>
      <c r="I36" s="3"/>
    </row>
    <row r="37" spans="3:9" ht="15.7" customHeight="1" x14ac:dyDescent="0.3">
      <c r="C37" s="20">
        <v>28</v>
      </c>
      <c r="D37" s="43" t="s">
        <v>1243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43" t="s">
        <v>1244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43" t="s">
        <v>1245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43" t="s">
        <v>1246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43" t="s">
        <v>1247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43" t="s">
        <v>1248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43" t="s">
        <v>1249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43" t="s">
        <v>1250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43" t="s">
        <v>1251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43" t="s">
        <v>1252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43" t="s">
        <v>1253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43" t="s">
        <v>1254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43" t="s">
        <v>1255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43" t="s">
        <v>1256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43" t="s">
        <v>1257</v>
      </c>
      <c r="F51" s="24" t="s">
        <v>12</v>
      </c>
      <c r="G51" s="3"/>
      <c r="H51" s="3"/>
      <c r="I51" s="3"/>
    </row>
    <row r="52" spans="3:9" ht="15.7" customHeight="1" x14ac:dyDescent="0.3">
      <c r="C52" s="20">
        <v>43</v>
      </c>
      <c r="D52" s="43" t="s">
        <v>1258</v>
      </c>
      <c r="F52" s="24" t="s">
        <v>12</v>
      </c>
      <c r="G52" s="3"/>
      <c r="H52" s="3"/>
      <c r="I52" s="3"/>
    </row>
    <row r="53" spans="3:9" ht="15.7" customHeight="1" x14ac:dyDescent="0.3">
      <c r="C53" s="20">
        <v>44</v>
      </c>
      <c r="D53" s="43" t="s">
        <v>1259</v>
      </c>
      <c r="F53" s="24" t="s">
        <v>12</v>
      </c>
      <c r="G53" s="3"/>
      <c r="H53" s="3"/>
      <c r="I53" s="3"/>
    </row>
    <row r="54" spans="3:9" ht="15.7" customHeight="1" x14ac:dyDescent="0.3">
      <c r="C54" s="20">
        <v>45</v>
      </c>
      <c r="D54" s="43" t="s">
        <v>1260</v>
      </c>
      <c r="F54" s="24" t="s">
        <v>12</v>
      </c>
      <c r="G54" s="3"/>
      <c r="H54" s="3"/>
      <c r="I54" s="3"/>
    </row>
    <row r="55" spans="3:9" ht="15.7" customHeight="1" x14ac:dyDescent="0.3">
      <c r="C55" s="20">
        <v>46</v>
      </c>
      <c r="D55" s="43" t="s">
        <v>1261</v>
      </c>
      <c r="F55" s="24" t="s">
        <v>12</v>
      </c>
      <c r="G55" s="3"/>
      <c r="H55" s="3"/>
      <c r="I55" s="3"/>
    </row>
    <row r="56" spans="3:9" ht="15.7" customHeight="1" x14ac:dyDescent="0.3"/>
    <row r="57" spans="3:9" ht="15.7" customHeight="1" x14ac:dyDescent="0.3">
      <c r="C57" s="88" t="s">
        <v>14</v>
      </c>
      <c r="D57" s="70"/>
      <c r="F57" s="6" t="s">
        <v>1</v>
      </c>
      <c r="G57" s="6" t="s">
        <v>3</v>
      </c>
      <c r="H57" s="6" t="s">
        <v>5</v>
      </c>
      <c r="I57" s="6" t="s">
        <v>10</v>
      </c>
    </row>
    <row r="58" spans="3:9" ht="15.7" customHeight="1" x14ac:dyDescent="0.3">
      <c r="C58" s="33">
        <v>1</v>
      </c>
      <c r="D58" s="61" t="s">
        <v>1262</v>
      </c>
      <c r="F58" s="24" t="s">
        <v>12</v>
      </c>
      <c r="G58" s="3"/>
      <c r="H58" s="3"/>
      <c r="I58" s="3"/>
    </row>
    <row r="59" spans="3:9" ht="15.7" customHeight="1" x14ac:dyDescent="0.3">
      <c r="C59" s="20">
        <v>2</v>
      </c>
      <c r="D59" s="61" t="s">
        <v>1263</v>
      </c>
      <c r="F59" s="24" t="s">
        <v>12</v>
      </c>
      <c r="G59" s="3"/>
      <c r="H59" s="3"/>
      <c r="I59" s="3"/>
    </row>
    <row r="60" spans="3:9" ht="15.7" customHeight="1" x14ac:dyDescent="0.3">
      <c r="C60" s="33">
        <v>3</v>
      </c>
      <c r="D60" s="61" t="s">
        <v>1264</v>
      </c>
      <c r="F60" s="24" t="s">
        <v>12</v>
      </c>
      <c r="G60" s="3"/>
      <c r="H60" s="3"/>
      <c r="I60" s="3"/>
    </row>
    <row r="61" spans="3:9" ht="15.7" customHeight="1" x14ac:dyDescent="0.3">
      <c r="C61" s="20">
        <v>4</v>
      </c>
      <c r="D61" s="61" t="s">
        <v>1265</v>
      </c>
      <c r="F61" s="24" t="s">
        <v>12</v>
      </c>
      <c r="G61" s="3"/>
      <c r="H61" s="3"/>
      <c r="I61" s="3"/>
    </row>
    <row r="62" spans="3:9" ht="15.7" customHeight="1" x14ac:dyDescent="0.3">
      <c r="C62" s="33">
        <v>5</v>
      </c>
      <c r="D62" s="61" t="s">
        <v>1266</v>
      </c>
      <c r="F62" s="24" t="s">
        <v>12</v>
      </c>
      <c r="G62" s="3"/>
      <c r="H62" s="3"/>
      <c r="I62" s="3"/>
    </row>
    <row r="63" spans="3:9" ht="15.7" customHeight="1" x14ac:dyDescent="0.3">
      <c r="C63" s="20">
        <v>6</v>
      </c>
      <c r="D63" s="61" t="s">
        <v>1267</v>
      </c>
      <c r="F63" s="24" t="s">
        <v>12</v>
      </c>
      <c r="G63" s="3"/>
      <c r="H63" s="3"/>
      <c r="I63" s="3"/>
    </row>
    <row r="64" spans="3:9" ht="15.7" customHeight="1" x14ac:dyDescent="0.3">
      <c r="C64" s="33">
        <v>7</v>
      </c>
      <c r="D64" s="61" t="s">
        <v>1268</v>
      </c>
      <c r="F64" s="24" t="s">
        <v>12</v>
      </c>
      <c r="G64" s="3"/>
      <c r="H64" s="3"/>
      <c r="I64" s="3"/>
    </row>
    <row r="65" spans="3:9" ht="15.7" customHeight="1" x14ac:dyDescent="0.3">
      <c r="C65" s="20">
        <v>8</v>
      </c>
      <c r="D65" s="61" t="s">
        <v>1269</v>
      </c>
      <c r="F65" s="24" t="s">
        <v>12</v>
      </c>
      <c r="G65" s="3"/>
      <c r="H65" s="3"/>
      <c r="I65" s="3"/>
    </row>
    <row r="66" spans="3:9" ht="15.7" customHeight="1" x14ac:dyDescent="0.3">
      <c r="C66" s="33">
        <v>9</v>
      </c>
      <c r="D66" s="61" t="s">
        <v>1270</v>
      </c>
      <c r="F66" s="24" t="s">
        <v>12</v>
      </c>
      <c r="G66" s="3"/>
      <c r="H66" s="3"/>
      <c r="I66" s="3"/>
    </row>
    <row r="67" spans="3:9" ht="15.7" customHeight="1" x14ac:dyDescent="0.3">
      <c r="C67" s="20">
        <v>10</v>
      </c>
      <c r="D67" s="61" t="s">
        <v>1271</v>
      </c>
      <c r="F67" s="24" t="s">
        <v>12</v>
      </c>
      <c r="G67" s="3"/>
      <c r="H67" s="3"/>
      <c r="I67" s="3"/>
    </row>
    <row r="68" spans="3:9" ht="15.7" customHeight="1" x14ac:dyDescent="0.3">
      <c r="C68" s="33">
        <v>11</v>
      </c>
      <c r="D68" s="61" t="s">
        <v>1272</v>
      </c>
      <c r="F68" s="24" t="s">
        <v>12</v>
      </c>
      <c r="G68" s="3"/>
      <c r="H68" s="3"/>
      <c r="I68" s="3"/>
    </row>
    <row r="69" spans="3:9" ht="15.7" customHeight="1" x14ac:dyDescent="0.3">
      <c r="C69" s="20">
        <v>12</v>
      </c>
      <c r="D69" s="61" t="s">
        <v>1273</v>
      </c>
      <c r="F69" s="24" t="s">
        <v>12</v>
      </c>
      <c r="G69" s="3"/>
      <c r="H69" s="3"/>
      <c r="I69" s="3"/>
    </row>
    <row r="70" spans="3:9" ht="15.7" customHeight="1" x14ac:dyDescent="0.3">
      <c r="C70" s="33">
        <v>13</v>
      </c>
      <c r="D70" s="61" t="s">
        <v>1274</v>
      </c>
      <c r="F70" s="24" t="s">
        <v>12</v>
      </c>
      <c r="G70" s="3"/>
      <c r="H70" s="3"/>
      <c r="I70" s="3"/>
    </row>
    <row r="71" spans="3:9" ht="15.7" customHeight="1" x14ac:dyDescent="0.3">
      <c r="C71" s="20">
        <v>14</v>
      </c>
      <c r="D71" s="61" t="s">
        <v>1275</v>
      </c>
      <c r="F71" s="24" t="s">
        <v>12</v>
      </c>
      <c r="G71" s="3"/>
      <c r="H71" s="3"/>
      <c r="I71" s="3"/>
    </row>
    <row r="72" spans="3:9" ht="15.7" customHeight="1" x14ac:dyDescent="0.3">
      <c r="C72" s="33">
        <v>15</v>
      </c>
      <c r="D72" s="61" t="s">
        <v>1276</v>
      </c>
      <c r="F72" s="24" t="s">
        <v>12</v>
      </c>
      <c r="G72" s="3"/>
      <c r="H72" s="3"/>
      <c r="I72" s="3"/>
    </row>
    <row r="73" spans="3:9" ht="15.7" customHeight="1" x14ac:dyDescent="0.3">
      <c r="C73" s="20">
        <v>16</v>
      </c>
      <c r="D73" s="61" t="s">
        <v>1277</v>
      </c>
      <c r="F73" s="24" t="s">
        <v>12</v>
      </c>
      <c r="G73" s="3"/>
      <c r="H73" s="3"/>
      <c r="I73" s="3"/>
    </row>
    <row r="74" spans="3:9" ht="15.7" customHeight="1" x14ac:dyDescent="0.3">
      <c r="C74" s="33">
        <v>17</v>
      </c>
      <c r="D74" s="61" t="s">
        <v>1278</v>
      </c>
      <c r="F74" s="24" t="s">
        <v>12</v>
      </c>
      <c r="G74" s="3"/>
      <c r="H74" s="3"/>
      <c r="I74" s="3"/>
    </row>
    <row r="75" spans="3:9" ht="15.7" customHeight="1" x14ac:dyDescent="0.3">
      <c r="C75" s="20">
        <v>18</v>
      </c>
      <c r="D75" s="61" t="s">
        <v>1279</v>
      </c>
      <c r="F75" s="24" t="s">
        <v>12</v>
      </c>
      <c r="G75" s="3"/>
      <c r="H75" s="3"/>
      <c r="I75" s="3"/>
    </row>
    <row r="76" spans="3:9" ht="15.7" customHeight="1" x14ac:dyDescent="0.3">
      <c r="C76" s="33">
        <v>19</v>
      </c>
      <c r="D76" s="61" t="s">
        <v>1280</v>
      </c>
      <c r="F76" s="24" t="s">
        <v>12</v>
      </c>
      <c r="G76" s="3"/>
      <c r="H76" s="3"/>
      <c r="I76" s="3"/>
    </row>
    <row r="77" spans="3:9" ht="15.7" customHeight="1" x14ac:dyDescent="0.3">
      <c r="C77" s="33">
        <v>20</v>
      </c>
      <c r="D77" s="61" t="s">
        <v>1281</v>
      </c>
      <c r="F77" s="24" t="s">
        <v>12</v>
      </c>
      <c r="G77" s="3"/>
      <c r="H77" s="3"/>
      <c r="I77" s="3"/>
    </row>
    <row r="78" spans="3:9" ht="15.7" customHeight="1" x14ac:dyDescent="0.3">
      <c r="C78" s="20">
        <v>21</v>
      </c>
      <c r="D78" s="61" t="s">
        <v>1282</v>
      </c>
      <c r="F78" s="24" t="s">
        <v>12</v>
      </c>
      <c r="G78" s="3"/>
      <c r="H78" s="3"/>
      <c r="I78" s="3"/>
    </row>
    <row r="79" spans="3:9" ht="15.7" customHeight="1" x14ac:dyDescent="0.3">
      <c r="C79" s="33">
        <v>22</v>
      </c>
      <c r="D79" s="61" t="s">
        <v>1283</v>
      </c>
      <c r="F79" s="24" t="s">
        <v>12</v>
      </c>
      <c r="G79" s="3"/>
      <c r="H79" s="3"/>
      <c r="I79" s="3"/>
    </row>
    <row r="80" spans="3:9" ht="15.7" customHeight="1" x14ac:dyDescent="0.3">
      <c r="C80" s="33">
        <v>23</v>
      </c>
      <c r="D80" s="61" t="s">
        <v>1284</v>
      </c>
      <c r="F80" s="24" t="s">
        <v>12</v>
      </c>
      <c r="G80" s="3"/>
      <c r="H80" s="3"/>
      <c r="I80" s="3"/>
    </row>
    <row r="81" spans="3:9" ht="15.7" customHeight="1" x14ac:dyDescent="0.3">
      <c r="C81" s="20">
        <v>24</v>
      </c>
      <c r="D81" s="61" t="s">
        <v>1285</v>
      </c>
      <c r="F81" s="24" t="s">
        <v>12</v>
      </c>
      <c r="G81" s="3"/>
      <c r="H81" s="3"/>
      <c r="I81" s="3"/>
    </row>
    <row r="82" spans="3:9" ht="15.7" customHeight="1" x14ac:dyDescent="0.3">
      <c r="C82" s="33">
        <v>25</v>
      </c>
      <c r="D82" s="61" t="s">
        <v>1286</v>
      </c>
      <c r="F82" s="24" t="s">
        <v>12</v>
      </c>
      <c r="G82" s="3"/>
      <c r="H82" s="3"/>
      <c r="I82" s="3"/>
    </row>
    <row r="83" spans="3:9" ht="15.7" customHeight="1" x14ac:dyDescent="0.3">
      <c r="C83" s="33">
        <v>26</v>
      </c>
      <c r="D83" s="61" t="s">
        <v>1287</v>
      </c>
      <c r="F83" s="24" t="s">
        <v>12</v>
      </c>
      <c r="G83" s="3"/>
      <c r="H83" s="3"/>
      <c r="I83" s="3"/>
    </row>
    <row r="84" spans="3:9" ht="15.7" customHeight="1" x14ac:dyDescent="0.3">
      <c r="C84" s="20">
        <v>27</v>
      </c>
      <c r="D84" s="61" t="s">
        <v>1288</v>
      </c>
      <c r="F84" s="24" t="s">
        <v>12</v>
      </c>
      <c r="G84" s="3"/>
      <c r="H84" s="3"/>
      <c r="I84" s="3"/>
    </row>
    <row r="85" spans="3:9" ht="15.7" customHeight="1" x14ac:dyDescent="0.3">
      <c r="C85" s="33">
        <v>28</v>
      </c>
      <c r="D85" s="61" t="s">
        <v>1289</v>
      </c>
      <c r="F85" s="24" t="s">
        <v>12</v>
      </c>
      <c r="G85" s="3"/>
      <c r="H85" s="3"/>
      <c r="I85" s="3"/>
    </row>
    <row r="86" spans="3:9" ht="15.7" customHeight="1" x14ac:dyDescent="0.3">
      <c r="C86" s="33">
        <v>29</v>
      </c>
      <c r="D86" s="61" t="s">
        <v>324</v>
      </c>
      <c r="F86" s="24" t="s">
        <v>12</v>
      </c>
      <c r="G86" s="3"/>
      <c r="H86" s="3"/>
      <c r="I86" s="3"/>
    </row>
    <row r="87" spans="3:9" ht="15.7" customHeight="1" x14ac:dyDescent="0.3">
      <c r="C87" s="20">
        <v>30</v>
      </c>
      <c r="D87" s="61" t="s">
        <v>719</v>
      </c>
      <c r="F87" s="24" t="s">
        <v>12</v>
      </c>
      <c r="G87" s="3"/>
      <c r="H87" s="3"/>
      <c r="I87" s="3"/>
    </row>
    <row r="88" spans="3:9" ht="15.7" customHeight="1" x14ac:dyDescent="0.3">
      <c r="C88" s="33">
        <v>31</v>
      </c>
      <c r="D88" s="61" t="s">
        <v>1290</v>
      </c>
      <c r="F88" s="24" t="s">
        <v>12</v>
      </c>
      <c r="G88" s="3"/>
      <c r="H88" s="3"/>
      <c r="I88" s="3"/>
    </row>
    <row r="89" spans="3:9" ht="15.7" customHeight="1" x14ac:dyDescent="0.3">
      <c r="C89" s="33">
        <v>32</v>
      </c>
      <c r="D89" s="61" t="s">
        <v>393</v>
      </c>
      <c r="F89" s="24" t="s">
        <v>12</v>
      </c>
      <c r="G89" s="3"/>
      <c r="H89" s="3"/>
      <c r="I89" s="3"/>
    </row>
    <row r="90" spans="3:9" ht="15.7" customHeight="1" x14ac:dyDescent="0.3">
      <c r="C90" s="20">
        <v>33</v>
      </c>
      <c r="D90" s="61" t="s">
        <v>721</v>
      </c>
      <c r="F90" s="24" t="s">
        <v>12</v>
      </c>
      <c r="G90" s="3"/>
      <c r="H90" s="3"/>
      <c r="I90" s="3"/>
    </row>
    <row r="91" spans="3:9" ht="15.7" customHeight="1" x14ac:dyDescent="0.3">
      <c r="C91" s="33">
        <v>34</v>
      </c>
      <c r="D91" s="61" t="s">
        <v>722</v>
      </c>
      <c r="F91" s="24" t="s">
        <v>12</v>
      </c>
      <c r="G91" s="3"/>
      <c r="H91" s="3"/>
      <c r="I91" s="3"/>
    </row>
    <row r="92" spans="3:9" ht="15.7" customHeight="1" x14ac:dyDescent="0.3">
      <c r="C92" s="33">
        <v>35</v>
      </c>
      <c r="D92" s="61" t="s">
        <v>1291</v>
      </c>
      <c r="F92" s="24" t="s">
        <v>12</v>
      </c>
      <c r="G92" s="3"/>
      <c r="H92" s="3"/>
      <c r="I92" s="3"/>
    </row>
    <row r="93" spans="3:9" ht="15.7" customHeight="1" x14ac:dyDescent="0.3">
      <c r="C93" s="20">
        <v>36</v>
      </c>
      <c r="D93" s="61" t="s">
        <v>1292</v>
      </c>
      <c r="F93" s="24" t="s">
        <v>12</v>
      </c>
      <c r="G93" s="3"/>
      <c r="H93" s="3"/>
      <c r="I93" s="3"/>
    </row>
    <row r="94" spans="3:9" ht="15.7" customHeight="1" x14ac:dyDescent="0.3">
      <c r="C94" s="33">
        <v>37</v>
      </c>
      <c r="D94" s="61" t="s">
        <v>1293</v>
      </c>
      <c r="F94" s="24" t="s">
        <v>12</v>
      </c>
      <c r="G94" s="3"/>
      <c r="H94" s="3"/>
      <c r="I94" s="3"/>
    </row>
    <row r="95" spans="3:9" ht="15.7" customHeight="1" x14ac:dyDescent="0.3">
      <c r="C95" s="33">
        <v>38</v>
      </c>
      <c r="D95" s="61" t="s">
        <v>1210</v>
      </c>
      <c r="F95" s="24" t="s">
        <v>12</v>
      </c>
      <c r="G95" s="3"/>
      <c r="H95" s="3"/>
      <c r="I95" s="3"/>
    </row>
    <row r="96" spans="3:9" ht="15.7" customHeight="1" x14ac:dyDescent="0.3">
      <c r="C96" s="20">
        <v>39</v>
      </c>
      <c r="D96" s="61" t="s">
        <v>1294</v>
      </c>
      <c r="F96" s="24" t="s">
        <v>12</v>
      </c>
      <c r="G96" s="3"/>
      <c r="H96" s="3"/>
      <c r="I96" s="3"/>
    </row>
    <row r="97" spans="3:9" ht="15.7" customHeight="1" x14ac:dyDescent="0.3">
      <c r="C97" s="33">
        <v>40</v>
      </c>
      <c r="D97" s="61" t="s">
        <v>1295</v>
      </c>
      <c r="F97" s="24" t="s">
        <v>12</v>
      </c>
      <c r="G97" s="3"/>
      <c r="H97" s="3"/>
      <c r="I97" s="3"/>
    </row>
    <row r="98" spans="3:9" ht="15.7" customHeight="1" x14ac:dyDescent="0.3"/>
    <row r="99" spans="3:9" ht="15.7" customHeight="1" x14ac:dyDescent="0.3"/>
    <row r="100" spans="3:9" ht="15.7" customHeight="1" x14ac:dyDescent="0.3"/>
    <row r="101" spans="3:9" ht="15.7" customHeight="1" x14ac:dyDescent="0.3"/>
    <row r="102" spans="3:9" ht="15.7" customHeight="1" x14ac:dyDescent="0.3"/>
    <row r="103" spans="3:9" ht="15.7" customHeight="1" x14ac:dyDescent="0.3"/>
    <row r="104" spans="3:9" ht="15.7" customHeight="1" x14ac:dyDescent="0.3"/>
    <row r="105" spans="3:9" ht="15.7" customHeight="1" x14ac:dyDescent="0.3"/>
    <row r="106" spans="3:9" ht="15.7" customHeight="1" x14ac:dyDescent="0.3"/>
    <row r="107" spans="3:9" ht="15.7" customHeight="1" x14ac:dyDescent="0.3"/>
    <row r="108" spans="3:9" ht="15.7" customHeight="1" x14ac:dyDescent="0.3"/>
    <row r="109" spans="3:9" ht="15.7" customHeight="1" x14ac:dyDescent="0.3"/>
    <row r="110" spans="3:9" ht="15.7" customHeight="1" x14ac:dyDescent="0.3"/>
    <row r="111" spans="3:9" ht="15.7" customHeight="1" x14ac:dyDescent="0.3"/>
    <row r="112" spans="3:9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</sheetData>
  <mergeCells count="4">
    <mergeCell ref="B2:I2"/>
    <mergeCell ref="F8:H8"/>
    <mergeCell ref="C9:D9"/>
    <mergeCell ref="C57:D5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088E-FDC2-4C45-BA45-5F88104FAFE7}">
  <sheetPr>
    <tabColor theme="8" tint="0.59996337778862885"/>
  </sheetPr>
  <dimension ref="B1:I1048"/>
  <sheetViews>
    <sheetView workbookViewId="0">
      <selection activeCell="D1" sqref="D1"/>
    </sheetView>
  </sheetViews>
  <sheetFormatPr baseColWidth="10" defaultColWidth="14.3984375" defaultRowHeight="14.4" x14ac:dyDescent="0.3"/>
  <cols>
    <col min="1" max="1" width="9.09765625" style="54" customWidth="1"/>
    <col min="2" max="2" width="5" style="54" customWidth="1"/>
    <col min="3" max="3" width="8" style="54" customWidth="1"/>
    <col min="4" max="4" width="151.69921875" style="54" customWidth="1"/>
    <col min="5" max="5" width="6.3984375" style="54" customWidth="1"/>
    <col min="6" max="8" width="8" style="54" customWidth="1"/>
    <col min="9" max="9" width="54" style="54" customWidth="1"/>
    <col min="10" max="26" width="9.09765625" style="54" customWidth="1"/>
    <col min="27" max="16384" width="14.3984375" style="54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1395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43" t="s">
        <v>1339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43" t="s">
        <v>1301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43" t="s">
        <v>1302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43" t="s">
        <v>1303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43" t="s">
        <v>1304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43" t="s">
        <v>1305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43" t="s">
        <v>1340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43" t="s">
        <v>520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43" t="s">
        <v>522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43" t="s">
        <v>1341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43" t="s">
        <v>1342</v>
      </c>
      <c r="F20" s="24" t="s">
        <v>12</v>
      </c>
      <c r="G20" s="3"/>
      <c r="H20" s="3"/>
      <c r="I20" s="3"/>
    </row>
    <row r="21" spans="3:9" ht="15.7" customHeight="1" x14ac:dyDescent="0.3">
      <c r="C21" s="20">
        <v>12</v>
      </c>
      <c r="D21" s="43" t="s">
        <v>524</v>
      </c>
      <c r="F21" s="24" t="s">
        <v>12</v>
      </c>
      <c r="G21" s="3"/>
      <c r="H21" s="3"/>
      <c r="I21" s="3"/>
    </row>
    <row r="22" spans="3:9" ht="15.7" customHeight="1" x14ac:dyDescent="0.3">
      <c r="C22" s="20">
        <v>13</v>
      </c>
      <c r="D22" s="43" t="s">
        <v>527</v>
      </c>
      <c r="F22" s="24" t="s">
        <v>12</v>
      </c>
      <c r="G22" s="3"/>
      <c r="H22" s="3"/>
      <c r="I22" s="3"/>
    </row>
    <row r="23" spans="3:9" ht="15.7" customHeight="1" x14ac:dyDescent="0.3">
      <c r="C23" s="20">
        <v>14</v>
      </c>
      <c r="D23" s="43" t="s">
        <v>1306</v>
      </c>
      <c r="F23" s="24" t="s">
        <v>12</v>
      </c>
      <c r="G23" s="3"/>
      <c r="H23" s="3"/>
      <c r="I23" s="3"/>
    </row>
    <row r="24" spans="3:9" ht="15.7" customHeight="1" x14ac:dyDescent="0.3">
      <c r="C24" s="20">
        <v>15</v>
      </c>
      <c r="D24" s="43" t="s">
        <v>1307</v>
      </c>
      <c r="F24" s="24" t="s">
        <v>12</v>
      </c>
      <c r="G24" s="3"/>
      <c r="H24" s="3"/>
      <c r="I24" s="3"/>
    </row>
    <row r="25" spans="3:9" ht="15.7" customHeight="1" x14ac:dyDescent="0.3">
      <c r="C25" s="20">
        <v>16</v>
      </c>
      <c r="D25" s="43" t="s">
        <v>1308</v>
      </c>
      <c r="F25" s="24" t="s">
        <v>12</v>
      </c>
      <c r="G25" s="3"/>
      <c r="H25" s="3"/>
      <c r="I25" s="3"/>
    </row>
    <row r="26" spans="3:9" ht="15.7" customHeight="1" x14ac:dyDescent="0.3">
      <c r="C26" s="20">
        <v>17</v>
      </c>
      <c r="D26" s="43" t="s">
        <v>1309</v>
      </c>
      <c r="F26" s="24" t="s">
        <v>12</v>
      </c>
      <c r="G26" s="3"/>
      <c r="H26" s="3"/>
      <c r="I26" s="3"/>
    </row>
    <row r="27" spans="3:9" ht="15.7" customHeight="1" x14ac:dyDescent="0.3">
      <c r="C27" s="20">
        <v>18</v>
      </c>
      <c r="D27" s="43" t="s">
        <v>1310</v>
      </c>
      <c r="F27" s="24" t="s">
        <v>12</v>
      </c>
      <c r="G27" s="3"/>
      <c r="H27" s="3"/>
      <c r="I27" s="3"/>
    </row>
    <row r="28" spans="3:9" ht="15.7" customHeight="1" x14ac:dyDescent="0.3">
      <c r="C28" s="20">
        <v>19</v>
      </c>
      <c r="D28" s="43" t="s">
        <v>1343</v>
      </c>
      <c r="F28" s="24" t="s">
        <v>12</v>
      </c>
      <c r="G28" s="3"/>
      <c r="H28" s="3"/>
      <c r="I28" s="3"/>
    </row>
    <row r="29" spans="3:9" ht="15.7" customHeight="1" x14ac:dyDescent="0.3">
      <c r="C29" s="20">
        <v>20</v>
      </c>
      <c r="D29" s="43" t="s">
        <v>1311</v>
      </c>
      <c r="F29" s="24" t="s">
        <v>12</v>
      </c>
      <c r="G29" s="3"/>
      <c r="H29" s="3"/>
      <c r="I29" s="3"/>
    </row>
    <row r="30" spans="3:9" ht="15.7" customHeight="1" x14ac:dyDescent="0.3">
      <c r="C30" s="20">
        <v>21</v>
      </c>
      <c r="D30" s="43" t="s">
        <v>1344</v>
      </c>
      <c r="F30" s="24" t="s">
        <v>12</v>
      </c>
      <c r="G30" s="3"/>
      <c r="H30" s="3"/>
      <c r="I30" s="3"/>
    </row>
    <row r="31" spans="3:9" ht="15.7" customHeight="1" x14ac:dyDescent="0.3">
      <c r="C31" s="20">
        <v>22</v>
      </c>
      <c r="D31" s="43" t="s">
        <v>1312</v>
      </c>
      <c r="F31" s="24" t="s">
        <v>12</v>
      </c>
      <c r="G31" s="3"/>
      <c r="H31" s="3"/>
      <c r="I31" s="3"/>
    </row>
    <row r="32" spans="3:9" ht="15.7" customHeight="1" x14ac:dyDescent="0.3">
      <c r="C32" s="20">
        <v>23</v>
      </c>
      <c r="D32" s="43" t="s">
        <v>879</v>
      </c>
      <c r="F32" s="24" t="s">
        <v>12</v>
      </c>
      <c r="G32" s="3"/>
      <c r="H32" s="3"/>
      <c r="I32" s="3"/>
    </row>
    <row r="33" spans="3:9" ht="15.7" customHeight="1" x14ac:dyDescent="0.3">
      <c r="C33" s="20">
        <v>24</v>
      </c>
      <c r="D33" s="43" t="s">
        <v>1345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43" t="s">
        <v>1313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43" t="s">
        <v>1346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43" t="s">
        <v>1314</v>
      </c>
      <c r="F36" s="24" t="s">
        <v>12</v>
      </c>
      <c r="G36" s="3"/>
      <c r="H36" s="3"/>
      <c r="I36" s="3"/>
    </row>
    <row r="37" spans="3:9" ht="15.7" customHeight="1" x14ac:dyDescent="0.3">
      <c r="C37" s="20">
        <v>28</v>
      </c>
      <c r="D37" s="43" t="s">
        <v>1347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43" t="s">
        <v>1348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43" t="s">
        <v>1349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43" t="s">
        <v>1350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43" t="s">
        <v>1351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43" t="s">
        <v>1352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43" t="s">
        <v>1315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43" t="s">
        <v>1316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43" t="s">
        <v>1317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43" t="s">
        <v>1318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43" t="s">
        <v>1319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43" t="s">
        <v>1320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43" t="s">
        <v>554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43" t="s">
        <v>1321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43" t="s">
        <v>1353</v>
      </c>
      <c r="F51" s="24" t="s">
        <v>12</v>
      </c>
      <c r="G51" s="3"/>
      <c r="H51" s="3"/>
      <c r="I51" s="3"/>
    </row>
    <row r="52" spans="3:9" ht="15.7" customHeight="1" x14ac:dyDescent="0.3">
      <c r="C52" s="20">
        <v>43</v>
      </c>
      <c r="D52" s="43" t="s">
        <v>1354</v>
      </c>
      <c r="F52" s="24" t="s">
        <v>12</v>
      </c>
      <c r="G52" s="3"/>
      <c r="H52" s="3"/>
      <c r="I52" s="3"/>
    </row>
    <row r="53" spans="3:9" ht="15.7" customHeight="1" x14ac:dyDescent="0.3">
      <c r="C53" s="20">
        <v>44</v>
      </c>
      <c r="D53" s="43" t="s">
        <v>1322</v>
      </c>
      <c r="F53" s="24" t="s">
        <v>12</v>
      </c>
      <c r="G53" s="3"/>
      <c r="H53" s="3"/>
      <c r="I53" s="3"/>
    </row>
    <row r="54" spans="3:9" ht="15.7" customHeight="1" x14ac:dyDescent="0.3">
      <c r="C54" s="20">
        <v>45</v>
      </c>
      <c r="D54" s="43" t="s">
        <v>1323</v>
      </c>
      <c r="F54" s="24" t="s">
        <v>12</v>
      </c>
      <c r="G54" s="3"/>
      <c r="H54" s="3"/>
      <c r="I54" s="3"/>
    </row>
    <row r="55" spans="3:9" ht="15.7" customHeight="1" x14ac:dyDescent="0.3">
      <c r="C55" s="20">
        <v>46</v>
      </c>
      <c r="D55" s="43" t="s">
        <v>1324</v>
      </c>
      <c r="F55" s="24" t="s">
        <v>12</v>
      </c>
      <c r="G55" s="3"/>
      <c r="H55" s="3"/>
      <c r="I55" s="3"/>
    </row>
    <row r="56" spans="3:9" ht="15.7" customHeight="1" x14ac:dyDescent="0.3">
      <c r="C56" s="20">
        <v>47</v>
      </c>
      <c r="D56" s="43" t="s">
        <v>1325</v>
      </c>
      <c r="F56" s="24" t="s">
        <v>12</v>
      </c>
      <c r="G56" s="3"/>
      <c r="H56" s="3"/>
      <c r="I56" s="3"/>
    </row>
    <row r="57" spans="3:9" ht="15.7" customHeight="1" x14ac:dyDescent="0.3">
      <c r="C57" s="20">
        <v>48</v>
      </c>
      <c r="D57" s="43" t="s">
        <v>1326</v>
      </c>
      <c r="F57" s="24" t="s">
        <v>12</v>
      </c>
      <c r="G57" s="3"/>
      <c r="H57" s="3"/>
      <c r="I57" s="3"/>
    </row>
    <row r="58" spans="3:9" ht="15.7" customHeight="1" x14ac:dyDescent="0.3">
      <c r="C58" s="20">
        <v>49</v>
      </c>
      <c r="D58" s="43" t="s">
        <v>1327</v>
      </c>
      <c r="F58" s="24" t="s">
        <v>12</v>
      </c>
      <c r="G58" s="3"/>
      <c r="H58" s="3"/>
      <c r="I58" s="3"/>
    </row>
    <row r="59" spans="3:9" ht="15.7" customHeight="1" x14ac:dyDescent="0.3">
      <c r="C59" s="20">
        <v>50</v>
      </c>
      <c r="D59" s="43" t="s">
        <v>1328</v>
      </c>
      <c r="F59" s="24" t="s">
        <v>12</v>
      </c>
      <c r="G59" s="3"/>
      <c r="H59" s="3"/>
      <c r="I59" s="3"/>
    </row>
    <row r="60" spans="3:9" ht="15.7" customHeight="1" x14ac:dyDescent="0.3">
      <c r="C60" s="20">
        <v>51</v>
      </c>
      <c r="D60" s="43" t="s">
        <v>1329</v>
      </c>
      <c r="F60" s="24" t="s">
        <v>12</v>
      </c>
      <c r="G60" s="3"/>
      <c r="H60" s="3"/>
      <c r="I60" s="3"/>
    </row>
    <row r="61" spans="3:9" ht="15.7" customHeight="1" x14ac:dyDescent="0.3">
      <c r="C61" s="20">
        <v>52</v>
      </c>
      <c r="D61" s="43" t="s">
        <v>1330</v>
      </c>
      <c r="F61" s="24" t="s">
        <v>12</v>
      </c>
      <c r="G61" s="3"/>
      <c r="H61" s="3"/>
      <c r="I61" s="3"/>
    </row>
    <row r="62" spans="3:9" ht="15.7" customHeight="1" x14ac:dyDescent="0.3">
      <c r="C62" s="20">
        <v>53</v>
      </c>
      <c r="D62" s="43" t="s">
        <v>1331</v>
      </c>
      <c r="F62" s="24" t="s">
        <v>12</v>
      </c>
      <c r="G62" s="3"/>
      <c r="H62" s="3"/>
      <c r="I62" s="3"/>
    </row>
    <row r="63" spans="3:9" ht="15.7" customHeight="1" x14ac:dyDescent="0.3">
      <c r="C63" s="20">
        <v>54</v>
      </c>
      <c r="D63" s="43" t="s">
        <v>1332</v>
      </c>
      <c r="F63" s="24" t="s">
        <v>12</v>
      </c>
      <c r="G63" s="3"/>
      <c r="H63" s="3"/>
      <c r="I63" s="3"/>
    </row>
    <row r="64" spans="3:9" ht="15.7" customHeight="1" x14ac:dyDescent="0.3">
      <c r="C64" s="20">
        <v>55</v>
      </c>
      <c r="D64" s="43" t="s">
        <v>1333</v>
      </c>
      <c r="F64" s="24" t="s">
        <v>12</v>
      </c>
      <c r="G64" s="3"/>
      <c r="H64" s="3"/>
      <c r="I64" s="3"/>
    </row>
    <row r="65" spans="3:9" ht="15.7" customHeight="1" x14ac:dyDescent="0.3">
      <c r="C65" s="20">
        <v>56</v>
      </c>
      <c r="D65" s="43" t="s">
        <v>1334</v>
      </c>
      <c r="F65" s="24" t="s">
        <v>12</v>
      </c>
      <c r="G65" s="3"/>
      <c r="H65" s="3"/>
      <c r="I65" s="3"/>
    </row>
    <row r="66" spans="3:9" ht="15.7" customHeight="1" x14ac:dyDescent="0.3">
      <c r="C66" s="20">
        <v>57</v>
      </c>
      <c r="D66" s="43" t="s">
        <v>1335</v>
      </c>
      <c r="F66" s="24" t="s">
        <v>12</v>
      </c>
      <c r="G66" s="3"/>
      <c r="H66" s="3"/>
      <c r="I66" s="3"/>
    </row>
    <row r="67" spans="3:9" ht="15.7" customHeight="1" x14ac:dyDescent="0.3">
      <c r="C67" s="20">
        <v>58</v>
      </c>
      <c r="D67" s="43" t="s">
        <v>1336</v>
      </c>
      <c r="F67" s="24" t="s">
        <v>12</v>
      </c>
      <c r="G67" s="3"/>
      <c r="H67" s="3"/>
      <c r="I67" s="3"/>
    </row>
    <row r="68" spans="3:9" ht="15.7" customHeight="1" x14ac:dyDescent="0.3">
      <c r="C68" s="20">
        <v>59</v>
      </c>
      <c r="D68" s="43" t="s">
        <v>1337</v>
      </c>
      <c r="F68" s="24" t="s">
        <v>12</v>
      </c>
      <c r="G68" s="3"/>
      <c r="H68" s="3"/>
      <c r="I68" s="3"/>
    </row>
    <row r="69" spans="3:9" ht="15.7" customHeight="1" x14ac:dyDescent="0.3">
      <c r="C69" s="20">
        <v>60</v>
      </c>
      <c r="D69" s="43" t="s">
        <v>1338</v>
      </c>
      <c r="F69" s="24" t="s">
        <v>12</v>
      </c>
      <c r="G69" s="3"/>
      <c r="H69" s="3"/>
      <c r="I69" s="3"/>
    </row>
    <row r="70" spans="3:9" ht="15.7" customHeight="1" x14ac:dyDescent="0.3"/>
    <row r="71" spans="3:9" ht="15.7" customHeight="1" x14ac:dyDescent="0.3">
      <c r="C71" s="88" t="s">
        <v>14</v>
      </c>
      <c r="D71" s="70"/>
      <c r="F71" s="6" t="s">
        <v>1</v>
      </c>
      <c r="G71" s="6" t="s">
        <v>3</v>
      </c>
      <c r="H71" s="6" t="s">
        <v>5</v>
      </c>
      <c r="I71" s="6" t="s">
        <v>10</v>
      </c>
    </row>
    <row r="72" spans="3:9" ht="15.7" customHeight="1" x14ac:dyDescent="0.3">
      <c r="C72" s="55">
        <v>1</v>
      </c>
      <c r="D72" t="s">
        <v>1355</v>
      </c>
      <c r="F72" s="24" t="s">
        <v>12</v>
      </c>
      <c r="G72" s="3"/>
      <c r="H72" s="3"/>
      <c r="I72" s="3"/>
    </row>
    <row r="73" spans="3:9" ht="15.7" customHeight="1" x14ac:dyDescent="0.3">
      <c r="C73" s="20">
        <v>2</v>
      </c>
      <c r="D73" t="s">
        <v>1356</v>
      </c>
      <c r="F73" s="24" t="s">
        <v>12</v>
      </c>
      <c r="G73" s="3"/>
      <c r="H73" s="3"/>
      <c r="I73" s="3"/>
    </row>
    <row r="74" spans="3:9" ht="15.7" customHeight="1" x14ac:dyDescent="0.3">
      <c r="C74" s="55">
        <v>3</v>
      </c>
      <c r="D74" t="s">
        <v>1357</v>
      </c>
      <c r="F74" s="24" t="s">
        <v>12</v>
      </c>
      <c r="G74" s="3"/>
      <c r="H74" s="3"/>
      <c r="I74" s="3"/>
    </row>
    <row r="75" spans="3:9" ht="15.7" customHeight="1" x14ac:dyDescent="0.3">
      <c r="C75" s="20">
        <v>4</v>
      </c>
      <c r="D75" t="s">
        <v>1358</v>
      </c>
      <c r="F75" s="24" t="s">
        <v>12</v>
      </c>
      <c r="G75" s="3"/>
      <c r="H75" s="3"/>
      <c r="I75" s="3"/>
    </row>
    <row r="76" spans="3:9" ht="15.7" customHeight="1" x14ac:dyDescent="0.3">
      <c r="C76" s="55">
        <v>5</v>
      </c>
      <c r="D76" t="s">
        <v>575</v>
      </c>
      <c r="F76" s="24" t="s">
        <v>12</v>
      </c>
      <c r="G76" s="3"/>
      <c r="H76" s="3"/>
      <c r="I76" s="3"/>
    </row>
    <row r="77" spans="3:9" ht="15.7" customHeight="1" x14ac:dyDescent="0.3">
      <c r="C77" s="20">
        <v>6</v>
      </c>
      <c r="D77" t="s">
        <v>1359</v>
      </c>
      <c r="F77" s="24" t="s">
        <v>12</v>
      </c>
      <c r="G77" s="3"/>
      <c r="H77" s="3"/>
      <c r="I77" s="3"/>
    </row>
    <row r="78" spans="3:9" ht="15.7" customHeight="1" x14ac:dyDescent="0.3">
      <c r="C78" s="55">
        <v>7</v>
      </c>
      <c r="D78" t="s">
        <v>1360</v>
      </c>
      <c r="F78" s="24" t="s">
        <v>12</v>
      </c>
      <c r="G78" s="3"/>
      <c r="H78" s="3"/>
      <c r="I78" s="3"/>
    </row>
    <row r="79" spans="3:9" ht="15.7" customHeight="1" x14ac:dyDescent="0.3">
      <c r="C79" s="20">
        <v>8</v>
      </c>
      <c r="D79" t="s">
        <v>1361</v>
      </c>
      <c r="F79" s="24" t="s">
        <v>12</v>
      </c>
      <c r="G79" s="3"/>
      <c r="H79" s="3"/>
      <c r="I79" s="3"/>
    </row>
    <row r="80" spans="3:9" ht="15.7" customHeight="1" x14ac:dyDescent="0.3">
      <c r="C80" s="55">
        <v>9</v>
      </c>
      <c r="D80" t="s">
        <v>1362</v>
      </c>
      <c r="F80" s="24" t="s">
        <v>12</v>
      </c>
      <c r="G80" s="3"/>
      <c r="H80" s="3"/>
      <c r="I80" s="3"/>
    </row>
    <row r="81" spans="3:9" ht="15.7" customHeight="1" x14ac:dyDescent="0.3">
      <c r="C81" s="20">
        <v>10</v>
      </c>
      <c r="D81" t="s">
        <v>1363</v>
      </c>
      <c r="F81" s="24" t="s">
        <v>12</v>
      </c>
      <c r="G81" s="3"/>
      <c r="H81" s="3"/>
      <c r="I81" s="3"/>
    </row>
    <row r="82" spans="3:9" ht="15.7" customHeight="1" x14ac:dyDescent="0.3">
      <c r="C82" s="55">
        <v>11</v>
      </c>
      <c r="D82" t="s">
        <v>1364</v>
      </c>
      <c r="F82" s="24" t="s">
        <v>12</v>
      </c>
      <c r="G82" s="3"/>
      <c r="H82" s="3"/>
      <c r="I82" s="3"/>
    </row>
    <row r="83" spans="3:9" ht="15.7" customHeight="1" x14ac:dyDescent="0.3">
      <c r="C83" s="20">
        <v>12</v>
      </c>
      <c r="D83" t="s">
        <v>1365</v>
      </c>
      <c r="F83" s="24" t="s">
        <v>12</v>
      </c>
      <c r="G83" s="3"/>
      <c r="H83" s="3"/>
      <c r="I83" s="3"/>
    </row>
    <row r="84" spans="3:9" ht="15.7" customHeight="1" x14ac:dyDescent="0.3">
      <c r="C84" s="55">
        <v>13</v>
      </c>
      <c r="D84" t="s">
        <v>1366</v>
      </c>
      <c r="F84" s="24" t="s">
        <v>12</v>
      </c>
      <c r="G84" s="3"/>
      <c r="H84" s="3"/>
      <c r="I84" s="3"/>
    </row>
    <row r="85" spans="3:9" ht="15.7" customHeight="1" x14ac:dyDescent="0.3">
      <c r="C85" s="20">
        <v>14</v>
      </c>
      <c r="D85" t="s">
        <v>1367</v>
      </c>
      <c r="F85" s="24" t="s">
        <v>12</v>
      </c>
      <c r="G85" s="3"/>
      <c r="H85" s="3"/>
      <c r="I85" s="3"/>
    </row>
    <row r="86" spans="3:9" ht="15.7" customHeight="1" x14ac:dyDescent="0.3">
      <c r="C86" s="55">
        <v>15</v>
      </c>
      <c r="D86" t="s">
        <v>1368</v>
      </c>
      <c r="F86" s="24" t="s">
        <v>12</v>
      </c>
      <c r="G86" s="3"/>
      <c r="H86" s="3"/>
      <c r="I86" s="3"/>
    </row>
    <row r="87" spans="3:9" ht="15.7" customHeight="1" x14ac:dyDescent="0.3">
      <c r="C87" s="20">
        <v>16</v>
      </c>
      <c r="D87" t="s">
        <v>1369</v>
      </c>
      <c r="F87" s="24" t="s">
        <v>12</v>
      </c>
      <c r="G87" s="3"/>
      <c r="H87" s="3"/>
      <c r="I87" s="3"/>
    </row>
    <row r="88" spans="3:9" ht="15.7" customHeight="1" x14ac:dyDescent="0.3">
      <c r="C88" s="55">
        <v>17</v>
      </c>
      <c r="D88" t="s">
        <v>1370</v>
      </c>
      <c r="F88" s="24" t="s">
        <v>12</v>
      </c>
      <c r="G88" s="3"/>
      <c r="H88" s="3"/>
      <c r="I88" s="3"/>
    </row>
    <row r="89" spans="3:9" ht="15.7" customHeight="1" x14ac:dyDescent="0.3">
      <c r="C89" s="20">
        <v>18</v>
      </c>
      <c r="D89" t="s">
        <v>1371</v>
      </c>
      <c r="F89" s="24" t="s">
        <v>12</v>
      </c>
      <c r="G89" s="3"/>
      <c r="H89" s="3"/>
      <c r="I89" s="3"/>
    </row>
    <row r="90" spans="3:9" ht="15.7" customHeight="1" x14ac:dyDescent="0.3">
      <c r="C90" s="55">
        <v>19</v>
      </c>
      <c r="D90" t="s">
        <v>1372</v>
      </c>
      <c r="F90" s="24" t="s">
        <v>12</v>
      </c>
      <c r="G90" s="3"/>
      <c r="H90" s="3"/>
      <c r="I90" s="3"/>
    </row>
    <row r="91" spans="3:9" ht="15.7" customHeight="1" x14ac:dyDescent="0.3">
      <c r="C91" s="55">
        <v>20</v>
      </c>
      <c r="D91" t="s">
        <v>1373</v>
      </c>
      <c r="F91" s="24" t="s">
        <v>12</v>
      </c>
      <c r="G91" s="3"/>
      <c r="H91" s="3"/>
      <c r="I91" s="3"/>
    </row>
    <row r="92" spans="3:9" ht="15.7" customHeight="1" x14ac:dyDescent="0.3">
      <c r="C92" s="20">
        <v>21</v>
      </c>
      <c r="D92" t="s">
        <v>1374</v>
      </c>
      <c r="F92" s="24" t="s">
        <v>12</v>
      </c>
      <c r="G92" s="3"/>
      <c r="H92" s="3"/>
      <c r="I92" s="3"/>
    </row>
    <row r="93" spans="3:9" ht="15.7" customHeight="1" x14ac:dyDescent="0.3">
      <c r="C93" s="55">
        <v>22</v>
      </c>
      <c r="D93" t="s">
        <v>1375</v>
      </c>
      <c r="F93" s="24" t="s">
        <v>12</v>
      </c>
      <c r="G93" s="3"/>
      <c r="H93" s="3"/>
      <c r="I93" s="3"/>
    </row>
    <row r="94" spans="3:9" ht="15.7" customHeight="1" x14ac:dyDescent="0.3">
      <c r="C94" s="55">
        <v>23</v>
      </c>
      <c r="D94" t="s">
        <v>1376</v>
      </c>
      <c r="F94" s="24" t="s">
        <v>12</v>
      </c>
      <c r="G94" s="3"/>
      <c r="H94" s="3"/>
      <c r="I94" s="3"/>
    </row>
    <row r="95" spans="3:9" ht="15.7" customHeight="1" x14ac:dyDescent="0.3">
      <c r="C95" s="20">
        <v>24</v>
      </c>
      <c r="D95" t="s">
        <v>1377</v>
      </c>
      <c r="F95" s="24" t="s">
        <v>12</v>
      </c>
      <c r="G95" s="3"/>
      <c r="H95" s="3"/>
      <c r="I95" s="3"/>
    </row>
    <row r="96" spans="3:9" ht="15.7" customHeight="1" x14ac:dyDescent="0.3">
      <c r="C96" s="55">
        <v>25</v>
      </c>
      <c r="D96" t="s">
        <v>1378</v>
      </c>
      <c r="F96" s="24" t="s">
        <v>12</v>
      </c>
      <c r="G96" s="3"/>
      <c r="H96" s="3"/>
      <c r="I96" s="3"/>
    </row>
    <row r="97" spans="3:9" ht="15.7" customHeight="1" x14ac:dyDescent="0.3">
      <c r="C97" s="55">
        <v>26</v>
      </c>
      <c r="D97" t="s">
        <v>1379</v>
      </c>
      <c r="F97" s="24" t="s">
        <v>12</v>
      </c>
      <c r="G97" s="3"/>
      <c r="H97" s="3"/>
      <c r="I97" s="3"/>
    </row>
    <row r="98" spans="3:9" ht="15.7" customHeight="1" x14ac:dyDescent="0.3">
      <c r="C98" s="20">
        <v>27</v>
      </c>
      <c r="D98" t="s">
        <v>1380</v>
      </c>
      <c r="F98" s="24" t="s">
        <v>12</v>
      </c>
      <c r="G98" s="3"/>
      <c r="H98" s="3"/>
      <c r="I98" s="3"/>
    </row>
    <row r="99" spans="3:9" ht="15.7" customHeight="1" x14ac:dyDescent="0.3">
      <c r="C99" s="55">
        <v>28</v>
      </c>
      <c r="D99" t="s">
        <v>1381</v>
      </c>
      <c r="F99" s="24" t="s">
        <v>12</v>
      </c>
      <c r="G99" s="3"/>
      <c r="H99" s="3"/>
      <c r="I99" s="3"/>
    </row>
    <row r="100" spans="3:9" ht="15.7" customHeight="1" x14ac:dyDescent="0.3">
      <c r="C100" s="55">
        <v>29</v>
      </c>
      <c r="D100" t="s">
        <v>1382</v>
      </c>
      <c r="F100" s="24" t="s">
        <v>12</v>
      </c>
      <c r="G100" s="3"/>
      <c r="H100" s="3"/>
      <c r="I100" s="3"/>
    </row>
    <row r="101" spans="3:9" ht="15.7" customHeight="1" x14ac:dyDescent="0.3">
      <c r="C101" s="20">
        <v>30</v>
      </c>
      <c r="D101" t="s">
        <v>1000</v>
      </c>
      <c r="F101" s="24" t="s">
        <v>12</v>
      </c>
      <c r="G101" s="3"/>
      <c r="H101" s="3"/>
      <c r="I101" s="3"/>
    </row>
    <row r="102" spans="3:9" ht="15.7" customHeight="1" x14ac:dyDescent="0.3">
      <c r="C102" s="55">
        <v>31</v>
      </c>
      <c r="D102" t="s">
        <v>1383</v>
      </c>
      <c r="F102" s="24" t="s">
        <v>12</v>
      </c>
      <c r="G102" s="3"/>
      <c r="H102" s="3"/>
      <c r="I102" s="3"/>
    </row>
    <row r="103" spans="3:9" ht="15.7" customHeight="1" x14ac:dyDescent="0.3">
      <c r="C103" s="55">
        <v>32</v>
      </c>
      <c r="D103" t="s">
        <v>1384</v>
      </c>
      <c r="F103" s="24" t="s">
        <v>12</v>
      </c>
      <c r="G103" s="3"/>
      <c r="H103" s="3"/>
      <c r="I103" s="3"/>
    </row>
    <row r="104" spans="3:9" ht="15.7" customHeight="1" x14ac:dyDescent="0.3">
      <c r="C104" s="20">
        <v>33</v>
      </c>
      <c r="D104" t="s">
        <v>393</v>
      </c>
      <c r="F104" s="24" t="s">
        <v>12</v>
      </c>
      <c r="G104" s="3"/>
      <c r="H104" s="3"/>
      <c r="I104" s="3"/>
    </row>
    <row r="105" spans="3:9" ht="15.7" customHeight="1" x14ac:dyDescent="0.3">
      <c r="C105" s="55">
        <v>34</v>
      </c>
      <c r="D105" t="s">
        <v>721</v>
      </c>
      <c r="F105" s="24" t="s">
        <v>12</v>
      </c>
      <c r="G105" s="3"/>
      <c r="H105" s="3"/>
      <c r="I105" s="3"/>
    </row>
    <row r="106" spans="3:9" ht="15.7" customHeight="1" x14ac:dyDescent="0.3">
      <c r="C106" s="55">
        <v>35</v>
      </c>
      <c r="D106" t="s">
        <v>1385</v>
      </c>
      <c r="F106" s="24" t="s">
        <v>12</v>
      </c>
      <c r="G106" s="3"/>
      <c r="H106" s="3"/>
      <c r="I106" s="3"/>
    </row>
    <row r="107" spans="3:9" ht="15.7" customHeight="1" x14ac:dyDescent="0.3">
      <c r="C107" s="20">
        <v>36</v>
      </c>
      <c r="D107" t="s">
        <v>1386</v>
      </c>
      <c r="F107" s="24" t="s">
        <v>12</v>
      </c>
      <c r="G107" s="3"/>
      <c r="H107" s="3"/>
      <c r="I107" s="3"/>
    </row>
    <row r="108" spans="3:9" ht="15.7" customHeight="1" x14ac:dyDescent="0.3">
      <c r="C108" s="55">
        <v>37</v>
      </c>
      <c r="D108" t="s">
        <v>1387</v>
      </c>
      <c r="F108" s="24" t="s">
        <v>12</v>
      </c>
      <c r="G108" s="3"/>
      <c r="H108" s="3"/>
      <c r="I108" s="3"/>
    </row>
    <row r="109" spans="3:9" ht="15.7" customHeight="1" x14ac:dyDescent="0.3">
      <c r="C109" s="55">
        <v>38</v>
      </c>
      <c r="D109" t="s">
        <v>1388</v>
      </c>
      <c r="F109" s="24" t="s">
        <v>12</v>
      </c>
      <c r="G109" s="3"/>
      <c r="H109" s="3"/>
      <c r="I109" s="3"/>
    </row>
    <row r="110" spans="3:9" ht="15.7" customHeight="1" x14ac:dyDescent="0.3">
      <c r="C110" s="20">
        <v>39</v>
      </c>
      <c r="D110" t="s">
        <v>1389</v>
      </c>
      <c r="F110" s="24" t="s">
        <v>12</v>
      </c>
      <c r="G110" s="3"/>
      <c r="H110" s="3"/>
      <c r="I110" s="3"/>
    </row>
    <row r="111" spans="3:9" ht="15.7" customHeight="1" x14ac:dyDescent="0.3">
      <c r="C111" s="20">
        <v>40</v>
      </c>
      <c r="D111" t="s">
        <v>1390</v>
      </c>
      <c r="F111" s="24"/>
      <c r="G111" s="3"/>
      <c r="H111" s="3"/>
      <c r="I111" s="3"/>
    </row>
    <row r="112" spans="3:9" ht="15.7" customHeight="1" x14ac:dyDescent="0.3">
      <c r="C112" s="55">
        <v>41</v>
      </c>
      <c r="D112" t="s">
        <v>1391</v>
      </c>
      <c r="F112" s="24"/>
      <c r="G112" s="3"/>
      <c r="H112" s="3"/>
      <c r="I112" s="3"/>
    </row>
    <row r="113" spans="3:9" ht="15.7" customHeight="1" x14ac:dyDescent="0.3">
      <c r="C113" s="55">
        <v>42</v>
      </c>
      <c r="D113" t="s">
        <v>1392</v>
      </c>
      <c r="F113" s="24"/>
      <c r="G113" s="3"/>
      <c r="H113" s="3"/>
      <c r="I113" s="3"/>
    </row>
    <row r="114" spans="3:9" ht="15.7" customHeight="1" x14ac:dyDescent="0.3">
      <c r="C114" s="20">
        <v>43</v>
      </c>
      <c r="D114" t="s">
        <v>1393</v>
      </c>
      <c r="F114" s="24"/>
      <c r="G114" s="3"/>
      <c r="H114" s="3"/>
      <c r="I114" s="3"/>
    </row>
    <row r="115" spans="3:9" ht="15.7" customHeight="1" x14ac:dyDescent="0.3"/>
    <row r="116" spans="3:9" ht="15.7" customHeight="1" x14ac:dyDescent="0.3"/>
    <row r="117" spans="3:9" ht="15.7" customHeight="1" x14ac:dyDescent="0.3"/>
    <row r="118" spans="3:9" ht="15.7" customHeight="1" x14ac:dyDescent="0.3"/>
    <row r="119" spans="3:9" ht="15.7" customHeight="1" x14ac:dyDescent="0.3"/>
    <row r="120" spans="3:9" ht="15.7" customHeight="1" x14ac:dyDescent="0.3"/>
    <row r="121" spans="3:9" ht="15.7" customHeight="1" x14ac:dyDescent="0.3"/>
    <row r="122" spans="3:9" ht="15.7" customHeight="1" x14ac:dyDescent="0.3"/>
    <row r="123" spans="3:9" ht="15.7" customHeight="1" x14ac:dyDescent="0.3"/>
    <row r="124" spans="3:9" ht="15.7" customHeight="1" x14ac:dyDescent="0.3"/>
    <row r="125" spans="3:9" ht="15.7" customHeight="1" x14ac:dyDescent="0.3"/>
    <row r="126" spans="3:9" ht="15.7" customHeight="1" x14ac:dyDescent="0.3"/>
    <row r="127" spans="3:9" ht="15.7" customHeight="1" x14ac:dyDescent="0.3"/>
    <row r="128" spans="3:9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</sheetData>
  <mergeCells count="4">
    <mergeCell ref="B2:I2"/>
    <mergeCell ref="F8:H8"/>
    <mergeCell ref="C9:D9"/>
    <mergeCell ref="C71:D7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">
    <tabColor theme="8" tint="0.59996337778862885"/>
  </sheetPr>
  <dimension ref="B1:I1052"/>
  <sheetViews>
    <sheetView zoomScale="90" zoomScaleNormal="90" workbookViewId="0"/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1394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31">
        <v>1</v>
      </c>
      <c r="D10" s="19" t="s">
        <v>1441</v>
      </c>
      <c r="F10" s="24" t="s">
        <v>12</v>
      </c>
      <c r="G10" s="3"/>
      <c r="H10" s="3"/>
      <c r="I10" s="3"/>
    </row>
    <row r="11" spans="2:9" x14ac:dyDescent="0.3">
      <c r="C11" s="31">
        <v>2</v>
      </c>
      <c r="D11" s="19" t="s">
        <v>1442</v>
      </c>
      <c r="F11" s="24" t="s">
        <v>12</v>
      </c>
      <c r="G11" s="3"/>
      <c r="H11" s="3"/>
      <c r="I11" s="3"/>
    </row>
    <row r="12" spans="2:9" x14ac:dyDescent="0.3">
      <c r="C12" s="31">
        <v>3</v>
      </c>
      <c r="D12" s="19" t="s">
        <v>1443</v>
      </c>
      <c r="F12" s="24" t="s">
        <v>12</v>
      </c>
      <c r="G12" s="3"/>
      <c r="H12" s="3"/>
      <c r="I12" s="3"/>
    </row>
    <row r="13" spans="2:9" x14ac:dyDescent="0.3">
      <c r="C13" s="31">
        <v>4</v>
      </c>
      <c r="D13" s="19" t="s">
        <v>1396</v>
      </c>
      <c r="F13" s="24" t="s">
        <v>12</v>
      </c>
      <c r="G13" s="3"/>
      <c r="H13" s="3"/>
      <c r="I13" s="3"/>
    </row>
    <row r="14" spans="2:9" x14ac:dyDescent="0.3">
      <c r="C14" s="31">
        <v>5</v>
      </c>
      <c r="D14" s="19" t="s">
        <v>1397</v>
      </c>
      <c r="F14" s="24" t="s">
        <v>12</v>
      </c>
      <c r="G14" s="3"/>
      <c r="H14" s="3"/>
      <c r="I14" s="3"/>
    </row>
    <row r="15" spans="2:9" x14ac:dyDescent="0.3">
      <c r="C15" s="31">
        <v>6</v>
      </c>
      <c r="D15" s="19" t="s">
        <v>1398</v>
      </c>
      <c r="F15" s="24" t="s">
        <v>12</v>
      </c>
      <c r="G15" s="3"/>
      <c r="H15" s="3"/>
      <c r="I15" s="3"/>
    </row>
    <row r="16" spans="2:9" x14ac:dyDescent="0.3">
      <c r="C16" s="31">
        <v>7</v>
      </c>
      <c r="D16" s="19" t="s">
        <v>1399</v>
      </c>
      <c r="F16" s="24" t="s">
        <v>12</v>
      </c>
      <c r="G16" s="3"/>
      <c r="H16" s="3"/>
      <c r="I16" s="3"/>
    </row>
    <row r="17" spans="3:9" x14ac:dyDescent="0.3">
      <c r="C17" s="31">
        <v>8</v>
      </c>
      <c r="D17" s="19" t="s">
        <v>742</v>
      </c>
      <c r="F17" s="24" t="s">
        <v>12</v>
      </c>
      <c r="G17" s="3"/>
      <c r="H17" s="3"/>
      <c r="I17" s="3"/>
    </row>
    <row r="18" spans="3:9" x14ac:dyDescent="0.3">
      <c r="C18" s="31">
        <v>9</v>
      </c>
      <c r="D18" s="19" t="s">
        <v>75</v>
      </c>
      <c r="F18" s="24" t="s">
        <v>12</v>
      </c>
      <c r="G18" s="3"/>
      <c r="H18" s="3"/>
      <c r="I18" s="3"/>
    </row>
    <row r="19" spans="3:9" x14ac:dyDescent="0.3">
      <c r="C19" s="31">
        <v>10</v>
      </c>
      <c r="D19" s="19" t="s">
        <v>743</v>
      </c>
      <c r="F19" s="24" t="s">
        <v>12</v>
      </c>
      <c r="G19" s="3"/>
      <c r="H19" s="3"/>
      <c r="I19" s="3"/>
    </row>
    <row r="20" spans="3:9" x14ac:dyDescent="0.3">
      <c r="C20" s="31">
        <v>11</v>
      </c>
      <c r="D20" s="19" t="s">
        <v>77</v>
      </c>
      <c r="F20" s="24" t="s">
        <v>12</v>
      </c>
      <c r="G20" s="3"/>
      <c r="H20" s="3"/>
      <c r="I20" s="3"/>
    </row>
    <row r="21" spans="3:9" ht="15.7" customHeight="1" x14ac:dyDescent="0.3">
      <c r="C21" s="31">
        <v>12</v>
      </c>
      <c r="D21" s="19" t="s">
        <v>1444</v>
      </c>
      <c r="F21" s="24" t="s">
        <v>12</v>
      </c>
      <c r="G21" s="3"/>
      <c r="H21" s="3"/>
      <c r="I21" s="3"/>
    </row>
    <row r="22" spans="3:9" ht="15.7" customHeight="1" x14ac:dyDescent="0.3">
      <c r="C22" s="31">
        <v>13</v>
      </c>
      <c r="D22" s="19" t="s">
        <v>1400</v>
      </c>
      <c r="F22" s="24" t="s">
        <v>12</v>
      </c>
      <c r="G22" s="3"/>
      <c r="H22" s="3"/>
      <c r="I22" s="3"/>
    </row>
    <row r="23" spans="3:9" ht="15.7" customHeight="1" x14ac:dyDescent="0.3">
      <c r="C23" s="31">
        <v>14</v>
      </c>
      <c r="D23" s="19" t="s">
        <v>1445</v>
      </c>
      <c r="F23" s="24" t="s">
        <v>12</v>
      </c>
      <c r="G23" s="3"/>
      <c r="H23" s="3"/>
      <c r="I23" s="3"/>
    </row>
    <row r="24" spans="3:9" ht="15.7" customHeight="1" x14ac:dyDescent="0.3">
      <c r="C24" s="31">
        <v>15</v>
      </c>
      <c r="D24" s="19" t="s">
        <v>1446</v>
      </c>
      <c r="F24" s="24" t="s">
        <v>12</v>
      </c>
      <c r="G24" s="3"/>
      <c r="H24" s="3"/>
      <c r="I24" s="3"/>
    </row>
    <row r="25" spans="3:9" ht="15.7" customHeight="1" x14ac:dyDescent="0.3">
      <c r="C25" s="31">
        <v>16</v>
      </c>
      <c r="D25" s="19" t="s">
        <v>1401</v>
      </c>
      <c r="F25" s="24" t="s">
        <v>12</v>
      </c>
      <c r="G25" s="3"/>
      <c r="H25" s="3"/>
      <c r="I25" s="3"/>
    </row>
    <row r="26" spans="3:9" ht="15.7" customHeight="1" x14ac:dyDescent="0.3">
      <c r="C26" s="31">
        <v>17</v>
      </c>
      <c r="D26" s="19" t="s">
        <v>1402</v>
      </c>
      <c r="F26" s="24" t="s">
        <v>12</v>
      </c>
      <c r="G26" s="3"/>
      <c r="H26" s="3"/>
      <c r="I26" s="3"/>
    </row>
    <row r="27" spans="3:9" ht="15.7" customHeight="1" x14ac:dyDescent="0.3">
      <c r="C27" s="31">
        <v>18</v>
      </c>
      <c r="D27" s="19" t="s">
        <v>1403</v>
      </c>
      <c r="F27" s="24" t="s">
        <v>12</v>
      </c>
      <c r="G27" s="3"/>
      <c r="H27" s="3"/>
      <c r="I27" s="3"/>
    </row>
    <row r="28" spans="3:9" ht="15.7" customHeight="1" x14ac:dyDescent="0.3">
      <c r="C28" s="31">
        <v>19</v>
      </c>
      <c r="D28" s="19" t="s">
        <v>1404</v>
      </c>
      <c r="F28" s="24" t="s">
        <v>12</v>
      </c>
      <c r="G28" s="3"/>
      <c r="H28" s="3"/>
      <c r="I28" s="3"/>
    </row>
    <row r="29" spans="3:9" ht="15.7" customHeight="1" x14ac:dyDescent="0.3">
      <c r="C29" s="31">
        <v>20</v>
      </c>
      <c r="D29" s="19" t="s">
        <v>1405</v>
      </c>
      <c r="F29" s="24" t="s">
        <v>12</v>
      </c>
      <c r="G29" s="3"/>
      <c r="H29" s="3"/>
      <c r="I29" s="3"/>
    </row>
    <row r="30" spans="3:9" ht="15.7" customHeight="1" x14ac:dyDescent="0.3">
      <c r="C30" s="31">
        <v>21</v>
      </c>
      <c r="D30" s="19" t="s">
        <v>1447</v>
      </c>
      <c r="F30" s="24" t="s">
        <v>12</v>
      </c>
      <c r="G30" s="3"/>
      <c r="H30" s="3"/>
      <c r="I30" s="3"/>
    </row>
    <row r="31" spans="3:9" ht="15.7" customHeight="1" x14ac:dyDescent="0.3">
      <c r="C31" s="31">
        <v>22</v>
      </c>
      <c r="D31" s="19" t="s">
        <v>1448</v>
      </c>
      <c r="F31" s="24" t="s">
        <v>12</v>
      </c>
      <c r="G31" s="3"/>
      <c r="H31" s="3"/>
      <c r="I31" s="3"/>
    </row>
    <row r="32" spans="3:9" ht="15.7" customHeight="1" x14ac:dyDescent="0.3">
      <c r="C32" s="31">
        <v>23</v>
      </c>
      <c r="D32" s="19" t="s">
        <v>1406</v>
      </c>
      <c r="F32" s="24" t="s">
        <v>12</v>
      </c>
      <c r="G32" s="3"/>
      <c r="H32" s="3"/>
      <c r="I32" s="3"/>
    </row>
    <row r="33" spans="3:9" ht="15.7" customHeight="1" x14ac:dyDescent="0.3">
      <c r="C33" s="31">
        <v>24</v>
      </c>
      <c r="D33" s="19" t="s">
        <v>1449</v>
      </c>
      <c r="F33" s="24" t="s">
        <v>12</v>
      </c>
      <c r="G33" s="3"/>
      <c r="H33" s="3"/>
      <c r="I33" s="3"/>
    </row>
    <row r="34" spans="3:9" ht="15.7" customHeight="1" x14ac:dyDescent="0.3">
      <c r="C34" s="31">
        <v>25</v>
      </c>
      <c r="D34" s="19" t="s">
        <v>1407</v>
      </c>
      <c r="F34" s="24" t="s">
        <v>12</v>
      </c>
      <c r="G34" s="3"/>
      <c r="H34" s="3"/>
      <c r="I34" s="3"/>
    </row>
    <row r="35" spans="3:9" ht="15.7" customHeight="1" x14ac:dyDescent="0.3">
      <c r="C35" s="31">
        <v>26</v>
      </c>
      <c r="D35" s="19" t="s">
        <v>1450</v>
      </c>
      <c r="F35" s="24" t="s">
        <v>12</v>
      </c>
      <c r="G35" s="3"/>
      <c r="H35" s="3"/>
      <c r="I35" s="3"/>
    </row>
    <row r="36" spans="3:9" ht="15.7" customHeight="1" x14ac:dyDescent="0.3">
      <c r="C36" s="31">
        <v>27</v>
      </c>
      <c r="D36" s="19" t="s">
        <v>1408</v>
      </c>
      <c r="F36" s="24" t="s">
        <v>12</v>
      </c>
      <c r="G36" s="3"/>
      <c r="H36" s="3"/>
      <c r="I36" s="3"/>
    </row>
    <row r="37" spans="3:9" ht="15.7" customHeight="1" x14ac:dyDescent="0.3">
      <c r="C37" s="31">
        <v>28</v>
      </c>
      <c r="D37" s="19" t="s">
        <v>1409</v>
      </c>
      <c r="F37" s="24" t="s">
        <v>12</v>
      </c>
      <c r="G37" s="3"/>
      <c r="H37" s="3"/>
      <c r="I37" s="3"/>
    </row>
    <row r="38" spans="3:9" ht="15.7" customHeight="1" x14ac:dyDescent="0.3">
      <c r="C38" s="31">
        <v>29</v>
      </c>
      <c r="D38" s="19" t="s">
        <v>1410</v>
      </c>
      <c r="F38" s="24" t="s">
        <v>12</v>
      </c>
      <c r="G38" s="3"/>
      <c r="H38" s="3"/>
      <c r="I38" s="3"/>
    </row>
    <row r="39" spans="3:9" ht="15.7" customHeight="1" x14ac:dyDescent="0.3">
      <c r="C39" s="31">
        <v>30</v>
      </c>
      <c r="D39" s="19" t="s">
        <v>1411</v>
      </c>
      <c r="F39" s="24" t="s">
        <v>12</v>
      </c>
      <c r="G39" s="3"/>
      <c r="H39" s="3"/>
      <c r="I39" s="3"/>
    </row>
    <row r="40" spans="3:9" ht="15.7" customHeight="1" x14ac:dyDescent="0.3">
      <c r="C40" s="31">
        <v>31</v>
      </c>
      <c r="D40" s="19" t="s">
        <v>1451</v>
      </c>
      <c r="F40" s="24" t="s">
        <v>12</v>
      </c>
      <c r="G40" s="3"/>
      <c r="H40" s="3"/>
      <c r="I40" s="3"/>
    </row>
    <row r="41" spans="3:9" ht="15.7" customHeight="1" x14ac:dyDescent="0.3">
      <c r="C41" s="31">
        <v>32</v>
      </c>
      <c r="D41" s="19" t="s">
        <v>1412</v>
      </c>
      <c r="F41" s="24" t="s">
        <v>12</v>
      </c>
      <c r="G41" s="3"/>
      <c r="H41" s="3"/>
      <c r="I41" s="3"/>
    </row>
    <row r="42" spans="3:9" ht="15.7" customHeight="1" x14ac:dyDescent="0.3">
      <c r="C42" s="31">
        <v>33</v>
      </c>
      <c r="D42" s="19" t="s">
        <v>1413</v>
      </c>
      <c r="F42" s="24" t="s">
        <v>12</v>
      </c>
      <c r="G42" s="3"/>
      <c r="H42" s="3"/>
      <c r="I42" s="3"/>
    </row>
    <row r="43" spans="3:9" ht="15.7" customHeight="1" x14ac:dyDescent="0.3">
      <c r="C43" s="31">
        <v>34</v>
      </c>
      <c r="D43" s="19" t="s">
        <v>1414</v>
      </c>
      <c r="F43" s="24" t="s">
        <v>12</v>
      </c>
      <c r="G43" s="3"/>
      <c r="H43" s="3"/>
      <c r="I43" s="3"/>
    </row>
    <row r="44" spans="3:9" ht="15.7" customHeight="1" x14ac:dyDescent="0.3">
      <c r="C44" s="31">
        <v>35</v>
      </c>
      <c r="D44" s="19" t="s">
        <v>1415</v>
      </c>
      <c r="F44" s="24" t="s">
        <v>12</v>
      </c>
      <c r="G44" s="3"/>
      <c r="H44" s="3"/>
      <c r="I44" s="3"/>
    </row>
    <row r="45" spans="3:9" ht="15.7" customHeight="1" x14ac:dyDescent="0.3">
      <c r="C45" s="31">
        <v>36</v>
      </c>
      <c r="D45" s="19" t="s">
        <v>1416</v>
      </c>
      <c r="F45" s="24" t="s">
        <v>12</v>
      </c>
      <c r="G45" s="3"/>
      <c r="H45" s="3"/>
      <c r="I45" s="3"/>
    </row>
    <row r="46" spans="3:9" ht="15.7" customHeight="1" x14ac:dyDescent="0.3">
      <c r="C46" s="31">
        <v>37</v>
      </c>
      <c r="D46" s="19" t="s">
        <v>1417</v>
      </c>
      <c r="F46" s="24" t="s">
        <v>12</v>
      </c>
      <c r="G46" s="3"/>
      <c r="H46" s="3"/>
      <c r="I46" s="3"/>
    </row>
    <row r="47" spans="3:9" ht="15.7" customHeight="1" x14ac:dyDescent="0.3">
      <c r="C47" s="31">
        <v>38</v>
      </c>
      <c r="D47" s="19" t="s">
        <v>1418</v>
      </c>
      <c r="F47" s="24" t="s">
        <v>12</v>
      </c>
      <c r="G47" s="3"/>
      <c r="H47" s="3"/>
      <c r="I47" s="3"/>
    </row>
    <row r="48" spans="3:9" ht="15.7" customHeight="1" x14ac:dyDescent="0.3">
      <c r="C48" s="31">
        <v>39</v>
      </c>
      <c r="D48" s="19" t="s">
        <v>1419</v>
      </c>
      <c r="F48" s="24" t="s">
        <v>12</v>
      </c>
      <c r="G48" s="3"/>
      <c r="H48" s="3"/>
      <c r="I48" s="3"/>
    </row>
    <row r="49" spans="3:9" ht="15.7" customHeight="1" x14ac:dyDescent="0.3">
      <c r="C49" s="31">
        <v>40</v>
      </c>
      <c r="D49" s="19" t="s">
        <v>1420</v>
      </c>
      <c r="F49" s="24" t="s">
        <v>12</v>
      </c>
      <c r="G49" s="3"/>
      <c r="H49" s="3"/>
      <c r="I49" s="3"/>
    </row>
    <row r="50" spans="3:9" ht="15.7" customHeight="1" x14ac:dyDescent="0.3">
      <c r="C50" s="31">
        <v>41</v>
      </c>
      <c r="D50" s="19" t="s">
        <v>1452</v>
      </c>
      <c r="F50" s="24" t="s">
        <v>12</v>
      </c>
      <c r="G50" s="3"/>
      <c r="H50" s="3"/>
      <c r="I50" s="3"/>
    </row>
    <row r="51" spans="3:9" ht="15.7" customHeight="1" x14ac:dyDescent="0.3">
      <c r="C51" s="31">
        <v>42</v>
      </c>
      <c r="D51" s="19" t="s">
        <v>1421</v>
      </c>
      <c r="F51" s="24" t="s">
        <v>12</v>
      </c>
      <c r="G51" s="3"/>
      <c r="H51" s="3"/>
      <c r="I51" s="3"/>
    </row>
    <row r="52" spans="3:9" ht="15.7" customHeight="1" x14ac:dyDescent="0.3">
      <c r="C52" s="31">
        <v>43</v>
      </c>
      <c r="D52" s="19" t="s">
        <v>1422</v>
      </c>
      <c r="F52" s="24" t="s">
        <v>12</v>
      </c>
      <c r="G52" s="3"/>
      <c r="H52" s="3"/>
      <c r="I52" s="3"/>
    </row>
    <row r="53" spans="3:9" ht="15.7" customHeight="1" x14ac:dyDescent="0.3">
      <c r="C53" s="31">
        <v>44</v>
      </c>
      <c r="D53" s="19" t="s">
        <v>1423</v>
      </c>
      <c r="F53" s="24" t="s">
        <v>12</v>
      </c>
      <c r="G53" s="3"/>
      <c r="H53" s="3"/>
      <c r="I53" s="3"/>
    </row>
    <row r="54" spans="3:9" ht="15.7" customHeight="1" x14ac:dyDescent="0.3">
      <c r="C54" s="31">
        <v>45</v>
      </c>
      <c r="D54" s="19" t="s">
        <v>1424</v>
      </c>
      <c r="F54" s="24" t="s">
        <v>12</v>
      </c>
      <c r="G54" s="3"/>
      <c r="H54" s="3"/>
      <c r="I54" s="3"/>
    </row>
    <row r="55" spans="3:9" ht="15.7" customHeight="1" x14ac:dyDescent="0.3">
      <c r="C55" s="31">
        <v>46</v>
      </c>
      <c r="D55" s="19" t="s">
        <v>1425</v>
      </c>
      <c r="F55" s="24" t="s">
        <v>12</v>
      </c>
      <c r="G55" s="3"/>
      <c r="H55" s="3"/>
      <c r="I55" s="3"/>
    </row>
    <row r="56" spans="3:9" ht="15.7" customHeight="1" x14ac:dyDescent="0.3">
      <c r="C56" s="31">
        <v>47</v>
      </c>
      <c r="D56" s="19" t="s">
        <v>1453</v>
      </c>
      <c r="F56" s="24" t="s">
        <v>12</v>
      </c>
      <c r="G56" s="3"/>
      <c r="H56" s="3"/>
      <c r="I56" s="3"/>
    </row>
    <row r="57" spans="3:9" ht="15.7" customHeight="1" x14ac:dyDescent="0.3">
      <c r="C57" s="31">
        <v>48</v>
      </c>
      <c r="D57" s="19" t="s">
        <v>1454</v>
      </c>
      <c r="F57" s="24" t="s">
        <v>12</v>
      </c>
      <c r="G57" s="3"/>
      <c r="H57" s="3"/>
      <c r="I57" s="3"/>
    </row>
    <row r="58" spans="3:9" ht="15.7" customHeight="1" x14ac:dyDescent="0.3">
      <c r="C58" s="31">
        <v>49</v>
      </c>
      <c r="D58" s="19" t="s">
        <v>1426</v>
      </c>
      <c r="F58" s="24" t="s">
        <v>12</v>
      </c>
      <c r="G58" s="3"/>
      <c r="H58" s="3"/>
      <c r="I58" s="3"/>
    </row>
    <row r="59" spans="3:9" ht="15.7" customHeight="1" x14ac:dyDescent="0.3">
      <c r="C59" s="31">
        <v>50</v>
      </c>
      <c r="D59" s="19" t="s">
        <v>1427</v>
      </c>
      <c r="F59" s="24" t="s">
        <v>12</v>
      </c>
      <c r="G59" s="3"/>
      <c r="H59" s="3"/>
      <c r="I59" s="3"/>
    </row>
    <row r="60" spans="3:9" ht="15.7" customHeight="1" x14ac:dyDescent="0.3">
      <c r="C60" s="31">
        <v>51</v>
      </c>
      <c r="D60" s="19" t="s">
        <v>1428</v>
      </c>
      <c r="F60" s="24" t="s">
        <v>12</v>
      </c>
      <c r="G60" s="3"/>
      <c r="H60" s="3"/>
      <c r="I60" s="3"/>
    </row>
    <row r="61" spans="3:9" ht="15.7" customHeight="1" x14ac:dyDescent="0.3">
      <c r="C61" s="31">
        <v>52</v>
      </c>
      <c r="D61" s="19" t="s">
        <v>1429</v>
      </c>
      <c r="F61" s="24" t="s">
        <v>12</v>
      </c>
      <c r="G61" s="3"/>
      <c r="H61" s="3"/>
      <c r="I61" s="3"/>
    </row>
    <row r="62" spans="3:9" ht="15.7" customHeight="1" x14ac:dyDescent="0.3">
      <c r="C62" s="31">
        <v>53</v>
      </c>
      <c r="D62" s="19" t="s">
        <v>1430</v>
      </c>
      <c r="F62" s="24" t="s">
        <v>12</v>
      </c>
      <c r="G62" s="3"/>
      <c r="H62" s="3"/>
      <c r="I62" s="3"/>
    </row>
    <row r="63" spans="3:9" ht="15.7" customHeight="1" x14ac:dyDescent="0.3">
      <c r="C63" s="31">
        <v>54</v>
      </c>
      <c r="D63" s="19" t="s">
        <v>1431</v>
      </c>
      <c r="F63" s="24" t="s">
        <v>12</v>
      </c>
      <c r="G63" s="3"/>
      <c r="H63" s="3"/>
      <c r="I63" s="3"/>
    </row>
    <row r="64" spans="3:9" ht="15.7" customHeight="1" x14ac:dyDescent="0.3">
      <c r="C64" s="31">
        <v>55</v>
      </c>
      <c r="D64" s="19" t="s">
        <v>1455</v>
      </c>
      <c r="F64" s="24" t="s">
        <v>12</v>
      </c>
      <c r="G64" s="3"/>
      <c r="H64" s="3"/>
      <c r="I64" s="3"/>
    </row>
    <row r="65" spans="3:9" ht="15.7" customHeight="1" x14ac:dyDescent="0.3">
      <c r="C65" s="31">
        <v>56</v>
      </c>
      <c r="D65" s="19" t="s">
        <v>1432</v>
      </c>
      <c r="F65" s="24" t="s">
        <v>12</v>
      </c>
      <c r="G65" s="3"/>
      <c r="H65" s="3"/>
      <c r="I65" s="3"/>
    </row>
    <row r="66" spans="3:9" ht="15.7" customHeight="1" x14ac:dyDescent="0.3">
      <c r="C66" s="31">
        <v>57</v>
      </c>
      <c r="D66" s="19" t="s">
        <v>1433</v>
      </c>
      <c r="F66" s="24" t="s">
        <v>12</v>
      </c>
      <c r="G66" s="3"/>
      <c r="H66" s="3"/>
      <c r="I66" s="3"/>
    </row>
    <row r="67" spans="3:9" ht="15.7" customHeight="1" x14ac:dyDescent="0.3">
      <c r="C67" s="31">
        <v>58</v>
      </c>
      <c r="D67" s="19" t="s">
        <v>1434</v>
      </c>
      <c r="F67" s="24" t="s">
        <v>12</v>
      </c>
      <c r="G67" s="3"/>
      <c r="H67" s="3"/>
      <c r="I67" s="3"/>
    </row>
    <row r="68" spans="3:9" ht="15.7" customHeight="1" x14ac:dyDescent="0.3">
      <c r="C68" s="31">
        <v>59</v>
      </c>
      <c r="D68" s="19" t="s">
        <v>1435</v>
      </c>
      <c r="F68" s="24" t="s">
        <v>12</v>
      </c>
      <c r="G68" s="3"/>
      <c r="H68" s="3"/>
      <c r="I68" s="3"/>
    </row>
    <row r="69" spans="3:9" s="54" customFormat="1" ht="15.7" customHeight="1" x14ac:dyDescent="0.3">
      <c r="C69" s="31">
        <v>60</v>
      </c>
      <c r="D69" s="19" t="s">
        <v>1436</v>
      </c>
      <c r="F69" s="24" t="s">
        <v>12</v>
      </c>
      <c r="G69" s="3"/>
      <c r="H69" s="3"/>
      <c r="I69" s="3"/>
    </row>
    <row r="70" spans="3:9" s="54" customFormat="1" ht="15.7" customHeight="1" x14ac:dyDescent="0.3">
      <c r="C70" s="31">
        <v>61</v>
      </c>
      <c r="D70" s="19" t="s">
        <v>1437</v>
      </c>
      <c r="F70" s="24" t="s">
        <v>12</v>
      </c>
      <c r="G70" s="3"/>
      <c r="H70" s="3"/>
      <c r="I70" s="3"/>
    </row>
    <row r="71" spans="3:9" s="54" customFormat="1" ht="15.7" customHeight="1" x14ac:dyDescent="0.3">
      <c r="C71" s="31">
        <v>62</v>
      </c>
      <c r="D71" s="19" t="s">
        <v>1438</v>
      </c>
      <c r="F71" s="24" t="s">
        <v>12</v>
      </c>
      <c r="G71" s="3"/>
      <c r="H71" s="3"/>
      <c r="I71" s="3"/>
    </row>
    <row r="72" spans="3:9" s="54" customFormat="1" ht="15.7" customHeight="1" x14ac:dyDescent="0.3">
      <c r="C72" s="31">
        <v>63</v>
      </c>
      <c r="D72" s="19" t="s">
        <v>1439</v>
      </c>
      <c r="F72" s="24" t="s">
        <v>12</v>
      </c>
      <c r="G72" s="3"/>
      <c r="H72" s="3"/>
      <c r="I72" s="3"/>
    </row>
    <row r="73" spans="3:9" s="54" customFormat="1" ht="15.7" customHeight="1" x14ac:dyDescent="0.3">
      <c r="C73" s="31">
        <v>64</v>
      </c>
      <c r="D73" s="19" t="s">
        <v>1440</v>
      </c>
      <c r="F73" s="24" t="s">
        <v>12</v>
      </c>
      <c r="G73" s="3"/>
      <c r="H73" s="3"/>
      <c r="I73" s="3"/>
    </row>
    <row r="74" spans="3:9" ht="15.7" customHeight="1" x14ac:dyDescent="0.3"/>
    <row r="75" spans="3:9" ht="15.7" customHeight="1" x14ac:dyDescent="0.3">
      <c r="C75" s="88" t="s">
        <v>14</v>
      </c>
      <c r="D75" s="70"/>
      <c r="F75" s="6" t="s">
        <v>1</v>
      </c>
      <c r="G75" s="6" t="s">
        <v>3</v>
      </c>
      <c r="H75" s="6" t="s">
        <v>5</v>
      </c>
      <c r="I75" s="6" t="s">
        <v>10</v>
      </c>
    </row>
    <row r="76" spans="3:9" ht="15.7" customHeight="1" x14ac:dyDescent="0.3">
      <c r="C76" s="33">
        <v>1</v>
      </c>
      <c r="D76" t="s">
        <v>1456</v>
      </c>
      <c r="F76" s="24" t="s">
        <v>12</v>
      </c>
      <c r="G76" s="3"/>
      <c r="H76" s="3"/>
      <c r="I76" s="3"/>
    </row>
    <row r="77" spans="3:9" ht="15.7" customHeight="1" x14ac:dyDescent="0.3">
      <c r="C77" s="20">
        <v>2</v>
      </c>
      <c r="D77" t="s">
        <v>1457</v>
      </c>
      <c r="F77" s="24" t="s">
        <v>12</v>
      </c>
      <c r="G77" s="3"/>
      <c r="H77" s="3"/>
      <c r="I77" s="3"/>
    </row>
    <row r="78" spans="3:9" ht="15.7" customHeight="1" x14ac:dyDescent="0.3">
      <c r="C78" s="20">
        <v>3</v>
      </c>
      <c r="D78" t="s">
        <v>1458</v>
      </c>
      <c r="F78" s="24" t="s">
        <v>12</v>
      </c>
      <c r="G78" s="3"/>
      <c r="H78" s="3"/>
      <c r="I78" s="3"/>
    </row>
    <row r="79" spans="3:9" ht="15.7" customHeight="1" x14ac:dyDescent="0.3">
      <c r="C79" s="33">
        <v>4</v>
      </c>
      <c r="D79" t="s">
        <v>1459</v>
      </c>
      <c r="F79" s="24" t="s">
        <v>12</v>
      </c>
      <c r="G79" s="3"/>
      <c r="H79" s="3"/>
      <c r="I79" s="3"/>
    </row>
    <row r="80" spans="3:9" ht="15.7" customHeight="1" x14ac:dyDescent="0.3">
      <c r="C80" s="20">
        <v>5</v>
      </c>
      <c r="D80" t="s">
        <v>1460</v>
      </c>
      <c r="F80" s="24" t="s">
        <v>12</v>
      </c>
      <c r="G80" s="3"/>
      <c r="H80" s="3"/>
      <c r="I80" s="3"/>
    </row>
    <row r="81" spans="3:9" ht="15.7" customHeight="1" x14ac:dyDescent="0.3">
      <c r="C81" s="20">
        <v>6</v>
      </c>
      <c r="D81" t="s">
        <v>1461</v>
      </c>
      <c r="F81" s="24" t="s">
        <v>12</v>
      </c>
      <c r="G81" s="3"/>
      <c r="H81" s="3"/>
      <c r="I81" s="3"/>
    </row>
    <row r="82" spans="3:9" ht="15.7" customHeight="1" x14ac:dyDescent="0.3">
      <c r="C82" s="33">
        <v>7</v>
      </c>
      <c r="D82" t="s">
        <v>972</v>
      </c>
      <c r="F82" s="24" t="s">
        <v>12</v>
      </c>
      <c r="G82" s="3"/>
      <c r="H82" s="3"/>
      <c r="I82" s="3"/>
    </row>
    <row r="83" spans="3:9" ht="15.7" customHeight="1" x14ac:dyDescent="0.3">
      <c r="C83" s="20">
        <v>8</v>
      </c>
      <c r="D83" t="s">
        <v>1462</v>
      </c>
      <c r="F83" s="24" t="s">
        <v>12</v>
      </c>
      <c r="G83" s="3"/>
      <c r="H83" s="3"/>
      <c r="I83" s="3"/>
    </row>
    <row r="84" spans="3:9" ht="15.7" customHeight="1" x14ac:dyDescent="0.3">
      <c r="C84" s="20">
        <v>9</v>
      </c>
      <c r="D84" t="s">
        <v>1463</v>
      </c>
      <c r="F84" s="24" t="s">
        <v>12</v>
      </c>
      <c r="G84" s="3"/>
      <c r="H84" s="3"/>
      <c r="I84" s="3"/>
    </row>
    <row r="85" spans="3:9" ht="15.7" customHeight="1" x14ac:dyDescent="0.3">
      <c r="C85" s="33">
        <v>10</v>
      </c>
      <c r="D85" t="s">
        <v>1464</v>
      </c>
      <c r="F85" s="24" t="s">
        <v>12</v>
      </c>
      <c r="G85" s="3"/>
      <c r="H85" s="3"/>
      <c r="I85" s="3"/>
    </row>
    <row r="86" spans="3:9" ht="15.7" customHeight="1" x14ac:dyDescent="0.3">
      <c r="C86" s="20">
        <v>11</v>
      </c>
      <c r="D86" t="s">
        <v>1465</v>
      </c>
      <c r="F86" s="24" t="s">
        <v>12</v>
      </c>
      <c r="G86" s="3"/>
      <c r="H86" s="3"/>
      <c r="I86" s="3"/>
    </row>
    <row r="87" spans="3:9" ht="15.7" customHeight="1" x14ac:dyDescent="0.3">
      <c r="C87" s="20">
        <v>12</v>
      </c>
      <c r="D87" t="s">
        <v>1466</v>
      </c>
      <c r="F87" s="24" t="s">
        <v>12</v>
      </c>
      <c r="G87" s="3"/>
      <c r="H87" s="3"/>
      <c r="I87" s="3"/>
    </row>
    <row r="88" spans="3:9" ht="15.7" customHeight="1" x14ac:dyDescent="0.3">
      <c r="C88" s="33">
        <v>13</v>
      </c>
      <c r="D88" t="s">
        <v>1467</v>
      </c>
      <c r="F88" s="24" t="s">
        <v>12</v>
      </c>
      <c r="G88" s="3"/>
      <c r="H88" s="3"/>
      <c r="I88" s="3"/>
    </row>
    <row r="89" spans="3:9" ht="15.7" customHeight="1" x14ac:dyDescent="0.3">
      <c r="C89" s="20">
        <v>14</v>
      </c>
      <c r="D89" t="s">
        <v>1468</v>
      </c>
      <c r="F89" s="24" t="s">
        <v>12</v>
      </c>
      <c r="G89" s="3"/>
      <c r="H89" s="3"/>
      <c r="I89" s="3"/>
    </row>
    <row r="90" spans="3:9" ht="15.7" customHeight="1" x14ac:dyDescent="0.3">
      <c r="C90" s="20">
        <v>15</v>
      </c>
      <c r="D90" t="s">
        <v>1469</v>
      </c>
      <c r="F90" s="24" t="s">
        <v>12</v>
      </c>
      <c r="G90" s="3"/>
      <c r="H90" s="3"/>
      <c r="I90" s="3"/>
    </row>
    <row r="91" spans="3:9" ht="15.7" customHeight="1" x14ac:dyDescent="0.3">
      <c r="C91" s="33">
        <v>16</v>
      </c>
      <c r="D91" t="s">
        <v>1470</v>
      </c>
      <c r="F91" s="24" t="s">
        <v>12</v>
      </c>
      <c r="G91" s="3"/>
      <c r="H91" s="3"/>
      <c r="I91" s="3"/>
    </row>
    <row r="92" spans="3:9" ht="15.7" customHeight="1" x14ac:dyDescent="0.3">
      <c r="C92" s="20">
        <v>17</v>
      </c>
      <c r="D92" t="s">
        <v>1471</v>
      </c>
      <c r="F92" s="24" t="s">
        <v>12</v>
      </c>
      <c r="G92" s="3"/>
      <c r="H92" s="3"/>
      <c r="I92" s="3"/>
    </row>
    <row r="93" spans="3:9" ht="15.7" customHeight="1" x14ac:dyDescent="0.3">
      <c r="C93" s="20">
        <v>18</v>
      </c>
      <c r="D93" t="s">
        <v>703</v>
      </c>
      <c r="F93" s="24" t="s">
        <v>12</v>
      </c>
      <c r="G93" s="3"/>
      <c r="H93" s="3"/>
      <c r="I93" s="3"/>
    </row>
    <row r="94" spans="3:9" ht="15.7" customHeight="1" x14ac:dyDescent="0.3">
      <c r="C94" s="33">
        <v>19</v>
      </c>
      <c r="D94" t="s">
        <v>1472</v>
      </c>
      <c r="F94" s="24" t="s">
        <v>12</v>
      </c>
      <c r="G94" s="3"/>
      <c r="H94" s="3"/>
      <c r="I94" s="3"/>
    </row>
    <row r="95" spans="3:9" ht="15.7" customHeight="1" x14ac:dyDescent="0.3">
      <c r="C95" s="20">
        <v>20</v>
      </c>
      <c r="D95" t="s">
        <v>1473</v>
      </c>
      <c r="F95" s="24" t="s">
        <v>12</v>
      </c>
      <c r="G95" s="3"/>
      <c r="H95" s="3"/>
      <c r="I95" s="3"/>
    </row>
    <row r="96" spans="3:9" ht="15.7" customHeight="1" x14ac:dyDescent="0.3">
      <c r="C96" s="20">
        <v>21</v>
      </c>
      <c r="D96" t="s">
        <v>1474</v>
      </c>
      <c r="F96" s="24" t="s">
        <v>12</v>
      </c>
      <c r="G96" s="3"/>
      <c r="H96" s="3"/>
      <c r="I96" s="3"/>
    </row>
    <row r="97" spans="3:9" ht="15.7" customHeight="1" x14ac:dyDescent="0.3">
      <c r="C97" s="33">
        <v>22</v>
      </c>
      <c r="D97" t="s">
        <v>1475</v>
      </c>
      <c r="F97" s="24" t="s">
        <v>12</v>
      </c>
      <c r="G97" s="3"/>
      <c r="H97" s="3"/>
      <c r="I97" s="3"/>
    </row>
    <row r="98" spans="3:9" ht="15.7" customHeight="1" x14ac:dyDescent="0.3">
      <c r="C98" s="20">
        <v>23</v>
      </c>
      <c r="D98" t="s">
        <v>1476</v>
      </c>
      <c r="F98" s="24" t="s">
        <v>12</v>
      </c>
      <c r="G98" s="3"/>
      <c r="H98" s="3"/>
      <c r="I98" s="3"/>
    </row>
    <row r="99" spans="3:9" ht="15.7" customHeight="1" x14ac:dyDescent="0.3">
      <c r="C99" s="20">
        <v>24</v>
      </c>
      <c r="D99" t="s">
        <v>1477</v>
      </c>
      <c r="F99" s="24" t="s">
        <v>12</v>
      </c>
      <c r="G99" s="3"/>
      <c r="H99" s="3"/>
      <c r="I99" s="3"/>
    </row>
    <row r="100" spans="3:9" ht="15.7" customHeight="1" x14ac:dyDescent="0.3">
      <c r="C100" s="33">
        <v>25</v>
      </c>
      <c r="D100" t="s">
        <v>1478</v>
      </c>
      <c r="F100" s="24" t="s">
        <v>12</v>
      </c>
      <c r="G100" s="3"/>
      <c r="H100" s="3"/>
      <c r="I100" s="3"/>
    </row>
    <row r="101" spans="3:9" ht="15.7" customHeight="1" x14ac:dyDescent="0.3">
      <c r="C101" s="20">
        <v>26</v>
      </c>
      <c r="D101" t="s">
        <v>1479</v>
      </c>
      <c r="F101" s="24" t="s">
        <v>12</v>
      </c>
      <c r="G101" s="3"/>
      <c r="H101" s="3"/>
      <c r="I101" s="3"/>
    </row>
    <row r="102" spans="3:9" ht="15.7" customHeight="1" x14ac:dyDescent="0.3">
      <c r="C102" s="20">
        <v>27</v>
      </c>
      <c r="D102" t="s">
        <v>1480</v>
      </c>
      <c r="F102" s="24" t="s">
        <v>12</v>
      </c>
      <c r="G102" s="3"/>
      <c r="H102" s="3"/>
      <c r="I102" s="3"/>
    </row>
    <row r="103" spans="3:9" ht="15.7" customHeight="1" x14ac:dyDescent="0.3">
      <c r="C103" s="33">
        <v>28</v>
      </c>
      <c r="D103" t="s">
        <v>1481</v>
      </c>
      <c r="F103" s="24" t="s">
        <v>12</v>
      </c>
      <c r="G103" s="3"/>
      <c r="H103" s="3"/>
      <c r="I103" s="3"/>
    </row>
    <row r="104" spans="3:9" ht="15.7" customHeight="1" x14ac:dyDescent="0.3">
      <c r="C104" s="20">
        <v>29</v>
      </c>
      <c r="D104" t="s">
        <v>1482</v>
      </c>
      <c r="F104" s="24" t="s">
        <v>12</v>
      </c>
      <c r="G104" s="3"/>
      <c r="H104" s="3"/>
      <c r="I104" s="3"/>
    </row>
    <row r="105" spans="3:9" ht="15.7" customHeight="1" x14ac:dyDescent="0.3">
      <c r="C105" s="20">
        <v>30</v>
      </c>
      <c r="D105" t="s">
        <v>1483</v>
      </c>
      <c r="F105" s="24" t="s">
        <v>12</v>
      </c>
      <c r="G105" s="3"/>
      <c r="H105" s="3"/>
      <c r="I105" s="3"/>
    </row>
    <row r="106" spans="3:9" ht="15.7" customHeight="1" x14ac:dyDescent="0.3">
      <c r="C106" s="33">
        <v>31</v>
      </c>
      <c r="D106" t="s">
        <v>1484</v>
      </c>
      <c r="F106" s="24" t="s">
        <v>12</v>
      </c>
      <c r="G106" s="3"/>
      <c r="H106" s="3"/>
      <c r="I106" s="3"/>
    </row>
    <row r="107" spans="3:9" ht="15.7" customHeight="1" x14ac:dyDescent="0.3">
      <c r="C107" s="20">
        <v>32</v>
      </c>
      <c r="D107" t="s">
        <v>1485</v>
      </c>
      <c r="F107" s="24" t="s">
        <v>12</v>
      </c>
      <c r="G107" s="3"/>
      <c r="H107" s="3"/>
      <c r="I107" s="3"/>
    </row>
    <row r="108" spans="3:9" ht="15.7" customHeight="1" x14ac:dyDescent="0.3">
      <c r="C108" s="20">
        <v>33</v>
      </c>
      <c r="D108" t="s">
        <v>324</v>
      </c>
      <c r="F108" s="24" t="s">
        <v>12</v>
      </c>
      <c r="G108" s="3"/>
      <c r="H108" s="3"/>
      <c r="I108" s="3"/>
    </row>
    <row r="109" spans="3:9" ht="15.7" customHeight="1" x14ac:dyDescent="0.3">
      <c r="C109" s="33">
        <v>34</v>
      </c>
      <c r="D109" t="s">
        <v>719</v>
      </c>
      <c r="F109" s="24" t="s">
        <v>12</v>
      </c>
      <c r="G109" s="3"/>
      <c r="H109" s="3"/>
      <c r="I109" s="3"/>
    </row>
    <row r="110" spans="3:9" s="54" customFormat="1" ht="15.7" customHeight="1" x14ac:dyDescent="0.3">
      <c r="C110" s="20">
        <v>35</v>
      </c>
      <c r="D110" t="s">
        <v>1486</v>
      </c>
      <c r="F110" s="24" t="s">
        <v>12</v>
      </c>
      <c r="G110" s="3"/>
      <c r="H110" s="3"/>
      <c r="I110" s="3"/>
    </row>
    <row r="111" spans="3:9" s="54" customFormat="1" ht="15.7" customHeight="1" x14ac:dyDescent="0.3">
      <c r="C111" s="55">
        <v>36</v>
      </c>
      <c r="D111" t="s">
        <v>1487</v>
      </c>
      <c r="F111" s="24" t="s">
        <v>12</v>
      </c>
      <c r="G111" s="3"/>
      <c r="H111" s="3"/>
      <c r="I111" s="3"/>
    </row>
    <row r="112" spans="3:9" s="54" customFormat="1" ht="15.7" customHeight="1" x14ac:dyDescent="0.3">
      <c r="C112" s="20">
        <v>37</v>
      </c>
      <c r="D112" t="s">
        <v>1488</v>
      </c>
      <c r="F112" s="24" t="s">
        <v>12</v>
      </c>
      <c r="G112" s="3"/>
      <c r="H112" s="3"/>
      <c r="I112" s="3"/>
    </row>
    <row r="113" spans="3:9" s="54" customFormat="1" ht="15.7" customHeight="1" x14ac:dyDescent="0.3">
      <c r="C113" s="20">
        <v>38</v>
      </c>
      <c r="D113" t="s">
        <v>1385</v>
      </c>
      <c r="F113" s="24" t="s">
        <v>12</v>
      </c>
      <c r="G113" s="3"/>
      <c r="H113" s="3"/>
      <c r="I113" s="3"/>
    </row>
    <row r="114" spans="3:9" s="54" customFormat="1" ht="15.7" customHeight="1" x14ac:dyDescent="0.3">
      <c r="C114" s="55">
        <v>39</v>
      </c>
      <c r="D114" t="s">
        <v>1489</v>
      </c>
      <c r="F114" s="24" t="s">
        <v>12</v>
      </c>
      <c r="G114" s="3"/>
      <c r="H114" s="3"/>
      <c r="I114" s="3"/>
    </row>
    <row r="115" spans="3:9" s="54" customFormat="1" ht="15.7" customHeight="1" x14ac:dyDescent="0.3">
      <c r="C115" s="20">
        <v>40</v>
      </c>
      <c r="D115" t="s">
        <v>854</v>
      </c>
      <c r="F115" s="24" t="s">
        <v>12</v>
      </c>
      <c r="G115" s="3"/>
      <c r="H115" s="3"/>
      <c r="I115" s="3"/>
    </row>
    <row r="116" spans="3:9" s="54" customFormat="1" ht="15.7" customHeight="1" x14ac:dyDescent="0.3">
      <c r="C116" s="55">
        <v>41</v>
      </c>
      <c r="D116" t="s">
        <v>1490</v>
      </c>
      <c r="F116" s="24" t="s">
        <v>12</v>
      </c>
      <c r="G116" s="3"/>
      <c r="H116" s="3"/>
      <c r="I116" s="3"/>
    </row>
    <row r="117" spans="3:9" s="54" customFormat="1" ht="15.7" customHeight="1" x14ac:dyDescent="0.3">
      <c r="C117" s="20">
        <v>42</v>
      </c>
      <c r="D117" t="s">
        <v>1491</v>
      </c>
      <c r="F117" s="24" t="s">
        <v>12</v>
      </c>
      <c r="G117" s="3"/>
      <c r="H117" s="3"/>
      <c r="I117" s="3"/>
    </row>
    <row r="118" spans="3:9" s="54" customFormat="1" ht="15.7" customHeight="1" x14ac:dyDescent="0.3">
      <c r="C118" s="20">
        <v>43</v>
      </c>
      <c r="D118" t="s">
        <v>1492</v>
      </c>
      <c r="F118" s="24" t="s">
        <v>12</v>
      </c>
      <c r="G118" s="3"/>
      <c r="H118" s="3"/>
      <c r="I118" s="3"/>
    </row>
    <row r="119" spans="3:9" ht="15.7" customHeight="1" x14ac:dyDescent="0.3">
      <c r="D119" s="54"/>
    </row>
    <row r="120" spans="3:9" ht="15.7" customHeight="1" x14ac:dyDescent="0.3">
      <c r="D120" s="54"/>
    </row>
    <row r="121" spans="3:9" ht="15.7" customHeight="1" x14ac:dyDescent="0.3"/>
    <row r="122" spans="3:9" ht="15.7" customHeight="1" x14ac:dyDescent="0.3"/>
    <row r="123" spans="3:9" ht="15.7" customHeight="1" x14ac:dyDescent="0.3"/>
    <row r="124" spans="3:9" ht="15.7" customHeight="1" x14ac:dyDescent="0.3"/>
    <row r="125" spans="3:9" ht="15.7" customHeight="1" x14ac:dyDescent="0.3"/>
    <row r="126" spans="3:9" ht="15.7" customHeight="1" x14ac:dyDescent="0.3"/>
    <row r="127" spans="3:9" ht="15.7" customHeight="1" x14ac:dyDescent="0.3"/>
    <row r="128" spans="3:9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</sheetData>
  <mergeCells count="4">
    <mergeCell ref="B2:I2"/>
    <mergeCell ref="F8:H8"/>
    <mergeCell ref="C9:D9"/>
    <mergeCell ref="C75:D7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6337778862885"/>
  </sheetPr>
  <dimension ref="B1:I1083"/>
  <sheetViews>
    <sheetView workbookViewId="0">
      <selection activeCell="D1" sqref="D1"/>
    </sheetView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1797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19" t="s">
        <v>1550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19" t="s">
        <v>1551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19" t="s">
        <v>1449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19" t="s">
        <v>1407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19" t="s">
        <v>1450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19" t="s">
        <v>1408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19" t="s">
        <v>1493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19" t="s">
        <v>1494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19" t="s">
        <v>1495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19" t="s">
        <v>1496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19" t="s">
        <v>1497</v>
      </c>
      <c r="F20" s="24" t="s">
        <v>12</v>
      </c>
      <c r="G20" s="3"/>
      <c r="H20" s="3"/>
      <c r="I20" s="3"/>
    </row>
    <row r="21" spans="3:9" x14ac:dyDescent="0.3">
      <c r="C21" s="20">
        <v>12</v>
      </c>
      <c r="D21" s="19" t="s">
        <v>1498</v>
      </c>
      <c r="F21" s="24" t="s">
        <v>12</v>
      </c>
      <c r="G21" s="3"/>
      <c r="H21" s="3"/>
      <c r="I21" s="3"/>
    </row>
    <row r="22" spans="3:9" x14ac:dyDescent="0.3">
      <c r="C22" s="20">
        <v>13</v>
      </c>
      <c r="D22" s="19" t="s">
        <v>1499</v>
      </c>
      <c r="F22" s="24" t="s">
        <v>12</v>
      </c>
      <c r="G22" s="3"/>
      <c r="H22" s="3"/>
      <c r="I22" s="3"/>
    </row>
    <row r="23" spans="3:9" x14ac:dyDescent="0.3">
      <c r="C23" s="20">
        <v>14</v>
      </c>
      <c r="D23" s="19" t="s">
        <v>1500</v>
      </c>
      <c r="F23" s="24" t="s">
        <v>12</v>
      </c>
      <c r="G23" s="3"/>
      <c r="H23" s="3"/>
      <c r="I23" s="3"/>
    </row>
    <row r="24" spans="3:9" x14ac:dyDescent="0.3">
      <c r="C24" s="20">
        <v>15</v>
      </c>
      <c r="D24" s="19" t="s">
        <v>1501</v>
      </c>
      <c r="F24" s="24" t="s">
        <v>12</v>
      </c>
      <c r="G24" s="3"/>
      <c r="H24" s="3"/>
      <c r="I24" s="3"/>
    </row>
    <row r="25" spans="3:9" x14ac:dyDescent="0.3">
      <c r="C25" s="20">
        <v>16</v>
      </c>
      <c r="D25" s="19" t="s">
        <v>1411</v>
      </c>
      <c r="F25" s="24" t="s">
        <v>12</v>
      </c>
      <c r="G25" s="3"/>
      <c r="H25" s="3"/>
      <c r="I25" s="3"/>
    </row>
    <row r="26" spans="3:9" x14ac:dyDescent="0.3">
      <c r="C26" s="20">
        <v>17</v>
      </c>
      <c r="D26" s="19" t="s">
        <v>1502</v>
      </c>
      <c r="F26" s="24" t="s">
        <v>12</v>
      </c>
      <c r="G26" s="3"/>
      <c r="H26" s="3"/>
      <c r="I26" s="3"/>
    </row>
    <row r="27" spans="3:9" x14ac:dyDescent="0.3">
      <c r="C27" s="20">
        <v>18</v>
      </c>
      <c r="D27" s="19" t="s">
        <v>1451</v>
      </c>
      <c r="F27" s="24" t="s">
        <v>12</v>
      </c>
      <c r="G27" s="3"/>
      <c r="H27" s="3"/>
      <c r="I27" s="3"/>
    </row>
    <row r="28" spans="3:9" x14ac:dyDescent="0.3">
      <c r="C28" s="20">
        <v>19</v>
      </c>
      <c r="D28" s="19" t="s">
        <v>1503</v>
      </c>
      <c r="F28" s="24" t="s">
        <v>12</v>
      </c>
      <c r="G28" s="3"/>
      <c r="H28" s="3"/>
      <c r="I28" s="3"/>
    </row>
    <row r="29" spans="3:9" x14ac:dyDescent="0.3">
      <c r="C29" s="20">
        <v>20</v>
      </c>
      <c r="D29" s="19" t="s">
        <v>1504</v>
      </c>
      <c r="F29" s="24" t="s">
        <v>12</v>
      </c>
      <c r="G29" s="3"/>
      <c r="H29" s="3"/>
      <c r="I29" s="3"/>
    </row>
    <row r="30" spans="3:9" x14ac:dyDescent="0.3">
      <c r="C30" s="20">
        <v>21</v>
      </c>
      <c r="D30" s="19" t="s">
        <v>1505</v>
      </c>
      <c r="F30" s="24" t="s">
        <v>12</v>
      </c>
      <c r="G30" s="3"/>
      <c r="H30" s="3"/>
      <c r="I30" s="3"/>
    </row>
    <row r="31" spans="3:9" x14ac:dyDescent="0.3">
      <c r="C31" s="20">
        <v>22</v>
      </c>
      <c r="D31" s="19" t="s">
        <v>1506</v>
      </c>
      <c r="F31" s="24" t="s">
        <v>12</v>
      </c>
      <c r="G31" s="3"/>
      <c r="H31" s="3"/>
      <c r="I31" s="3"/>
    </row>
    <row r="32" spans="3:9" x14ac:dyDescent="0.3">
      <c r="C32" s="20">
        <v>23</v>
      </c>
      <c r="D32" s="19" t="s">
        <v>1507</v>
      </c>
      <c r="F32" s="24" t="s">
        <v>12</v>
      </c>
      <c r="G32" s="3"/>
      <c r="H32" s="3"/>
      <c r="I32" s="3"/>
    </row>
    <row r="33" spans="3:9" x14ac:dyDescent="0.3">
      <c r="C33" s="20">
        <v>24</v>
      </c>
      <c r="D33" s="19" t="s">
        <v>1508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19" t="s">
        <v>1418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19" t="s">
        <v>1419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19" t="s">
        <v>1509</v>
      </c>
      <c r="F36" s="24" t="s">
        <v>12</v>
      </c>
      <c r="G36" s="3"/>
      <c r="H36" s="3"/>
      <c r="I36" s="3"/>
    </row>
    <row r="37" spans="3:9" ht="15.7" customHeight="1" x14ac:dyDescent="0.3">
      <c r="C37" s="20">
        <v>28</v>
      </c>
      <c r="D37" s="19" t="s">
        <v>1510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19" t="s">
        <v>1318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19" t="s">
        <v>1511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19" t="s">
        <v>1512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19" t="s">
        <v>1423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19" t="s">
        <v>1513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19" t="s">
        <v>1514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19" t="s">
        <v>1552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19" t="s">
        <v>1553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19" t="s">
        <v>1515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19" t="s">
        <v>1516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19" t="s">
        <v>1517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19" t="s">
        <v>1518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19" t="s">
        <v>1519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19" t="s">
        <v>1520</v>
      </c>
      <c r="F51" s="24" t="s">
        <v>12</v>
      </c>
      <c r="G51" s="3"/>
      <c r="H51" s="3"/>
      <c r="I51" s="3"/>
    </row>
    <row r="52" spans="3:9" ht="15.7" customHeight="1" x14ac:dyDescent="0.3">
      <c r="C52" s="20">
        <v>43</v>
      </c>
      <c r="D52" s="19" t="s">
        <v>1521</v>
      </c>
      <c r="F52" s="24" t="s">
        <v>12</v>
      </c>
      <c r="G52" s="3"/>
      <c r="H52" s="3"/>
      <c r="I52" s="3"/>
    </row>
    <row r="53" spans="3:9" ht="15.7" customHeight="1" x14ac:dyDescent="0.3">
      <c r="C53" s="20">
        <v>44</v>
      </c>
      <c r="D53" s="19" t="s">
        <v>1522</v>
      </c>
      <c r="F53" s="24" t="s">
        <v>12</v>
      </c>
      <c r="G53" s="3"/>
      <c r="H53" s="3"/>
      <c r="I53" s="3"/>
    </row>
    <row r="54" spans="3:9" ht="15.7" customHeight="1" x14ac:dyDescent="0.3">
      <c r="C54" s="20">
        <v>45</v>
      </c>
      <c r="D54" s="19" t="s">
        <v>1523</v>
      </c>
      <c r="F54" s="24" t="s">
        <v>12</v>
      </c>
      <c r="G54" s="3"/>
      <c r="H54" s="3"/>
      <c r="I54" s="3"/>
    </row>
    <row r="55" spans="3:9" ht="15.7" customHeight="1" x14ac:dyDescent="0.3">
      <c r="C55" s="20">
        <v>46</v>
      </c>
      <c r="D55" s="19" t="s">
        <v>1524</v>
      </c>
      <c r="F55" s="24" t="s">
        <v>12</v>
      </c>
      <c r="G55" s="3"/>
      <c r="H55" s="3"/>
      <c r="I55" s="3"/>
    </row>
    <row r="56" spans="3:9" ht="15.7" customHeight="1" x14ac:dyDescent="0.3">
      <c r="C56" s="20">
        <v>47</v>
      </c>
      <c r="D56" s="19" t="s">
        <v>1429</v>
      </c>
      <c r="F56" s="24" t="s">
        <v>12</v>
      </c>
      <c r="G56" s="3"/>
      <c r="H56" s="3"/>
      <c r="I56" s="3"/>
    </row>
    <row r="57" spans="3:9" ht="15.7" customHeight="1" x14ac:dyDescent="0.3">
      <c r="C57" s="20">
        <v>48</v>
      </c>
      <c r="D57" s="19" t="s">
        <v>1554</v>
      </c>
      <c r="F57" s="24" t="s">
        <v>12</v>
      </c>
      <c r="G57" s="3"/>
      <c r="H57" s="3"/>
      <c r="I57" s="3"/>
    </row>
    <row r="58" spans="3:9" ht="15.7" customHeight="1" x14ac:dyDescent="0.3">
      <c r="C58" s="20">
        <v>49</v>
      </c>
      <c r="D58" s="19" t="s">
        <v>1555</v>
      </c>
      <c r="F58" s="24" t="s">
        <v>12</v>
      </c>
      <c r="G58" s="3"/>
      <c r="H58" s="3"/>
      <c r="I58" s="3"/>
    </row>
    <row r="59" spans="3:9" ht="15.7" customHeight="1" x14ac:dyDescent="0.3">
      <c r="C59" s="20">
        <v>50</v>
      </c>
      <c r="D59" s="19" t="s">
        <v>1525</v>
      </c>
      <c r="F59" s="24" t="s">
        <v>12</v>
      </c>
      <c r="G59" s="3"/>
      <c r="H59" s="3"/>
      <c r="I59" s="3"/>
    </row>
    <row r="60" spans="3:9" ht="15.7" customHeight="1" x14ac:dyDescent="0.3">
      <c r="C60" s="20">
        <v>51</v>
      </c>
      <c r="D60" s="19" t="s">
        <v>1526</v>
      </c>
      <c r="F60" s="24" t="s">
        <v>12</v>
      </c>
      <c r="G60" s="3"/>
      <c r="H60" s="3"/>
      <c r="I60" s="3"/>
    </row>
    <row r="61" spans="3:9" ht="15.7" customHeight="1" x14ac:dyDescent="0.3">
      <c r="C61" s="20">
        <v>52</v>
      </c>
      <c r="D61" s="19" t="s">
        <v>1556</v>
      </c>
      <c r="F61" s="24" t="s">
        <v>12</v>
      </c>
      <c r="G61" s="3"/>
      <c r="H61" s="3"/>
      <c r="I61" s="3"/>
    </row>
    <row r="62" spans="3:9" ht="15.7" customHeight="1" x14ac:dyDescent="0.3">
      <c r="C62" s="20">
        <v>53</v>
      </c>
      <c r="D62" s="19" t="s">
        <v>1557</v>
      </c>
      <c r="F62" s="24" t="s">
        <v>12</v>
      </c>
      <c r="G62" s="3"/>
      <c r="H62" s="3"/>
      <c r="I62" s="3"/>
    </row>
    <row r="63" spans="3:9" ht="15.7" customHeight="1" x14ac:dyDescent="0.3">
      <c r="C63" s="20">
        <v>54</v>
      </c>
      <c r="D63" s="19" t="s">
        <v>1431</v>
      </c>
      <c r="F63" s="24" t="s">
        <v>12</v>
      </c>
      <c r="G63" s="3"/>
      <c r="H63" s="3"/>
      <c r="I63" s="3"/>
    </row>
    <row r="64" spans="3:9" ht="15.7" customHeight="1" x14ac:dyDescent="0.3">
      <c r="C64" s="20">
        <v>55</v>
      </c>
      <c r="D64" s="19" t="s">
        <v>1558</v>
      </c>
      <c r="F64" s="24" t="s">
        <v>12</v>
      </c>
      <c r="G64" s="3"/>
      <c r="H64" s="3"/>
      <c r="I64" s="3"/>
    </row>
    <row r="65" spans="3:9" ht="15.7" customHeight="1" x14ac:dyDescent="0.3">
      <c r="C65" s="20">
        <v>56</v>
      </c>
      <c r="D65" s="19" t="s">
        <v>1559</v>
      </c>
      <c r="F65" s="24" t="s">
        <v>12</v>
      </c>
      <c r="G65" s="3"/>
      <c r="H65" s="3"/>
      <c r="I65" s="3"/>
    </row>
    <row r="66" spans="3:9" ht="15.7" customHeight="1" x14ac:dyDescent="0.3">
      <c r="C66" s="20">
        <v>57</v>
      </c>
      <c r="D66" s="19" t="s">
        <v>1560</v>
      </c>
      <c r="F66" s="24" t="s">
        <v>12</v>
      </c>
      <c r="G66" s="3"/>
      <c r="H66" s="3"/>
      <c r="I66" s="3"/>
    </row>
    <row r="67" spans="3:9" ht="15.7" customHeight="1" x14ac:dyDescent="0.3">
      <c r="C67" s="20">
        <v>58</v>
      </c>
      <c r="D67" s="19" t="s">
        <v>1561</v>
      </c>
      <c r="F67" s="24" t="s">
        <v>12</v>
      </c>
      <c r="G67" s="3"/>
      <c r="H67" s="3"/>
      <c r="I67" s="3"/>
    </row>
    <row r="68" spans="3:9" ht="15.7" customHeight="1" x14ac:dyDescent="0.3">
      <c r="C68" s="20">
        <v>59</v>
      </c>
      <c r="D68" s="19" t="s">
        <v>1562</v>
      </c>
      <c r="F68" s="24" t="s">
        <v>12</v>
      </c>
      <c r="G68" s="3"/>
      <c r="H68" s="3"/>
      <c r="I68" s="3"/>
    </row>
    <row r="69" spans="3:9" ht="15.7" customHeight="1" x14ac:dyDescent="0.3">
      <c r="C69" s="20">
        <v>60</v>
      </c>
      <c r="D69" s="19" t="s">
        <v>1527</v>
      </c>
      <c r="F69" s="24" t="s">
        <v>12</v>
      </c>
      <c r="G69" s="3"/>
      <c r="H69" s="3"/>
      <c r="I69" s="3"/>
    </row>
    <row r="70" spans="3:9" ht="15.7" customHeight="1" x14ac:dyDescent="0.3">
      <c r="C70" s="20">
        <v>61</v>
      </c>
      <c r="D70" s="19" t="s">
        <v>1528</v>
      </c>
      <c r="F70" s="24" t="s">
        <v>12</v>
      </c>
      <c r="G70" s="3"/>
      <c r="H70" s="3"/>
      <c r="I70" s="3"/>
    </row>
    <row r="71" spans="3:9" ht="15.7" customHeight="1" x14ac:dyDescent="0.3">
      <c r="C71" s="20">
        <v>62</v>
      </c>
      <c r="D71" s="19" t="s">
        <v>1529</v>
      </c>
      <c r="F71" s="24" t="s">
        <v>12</v>
      </c>
      <c r="G71" s="3"/>
      <c r="H71" s="3"/>
      <c r="I71" s="3"/>
    </row>
    <row r="72" spans="3:9" ht="15.7" customHeight="1" x14ac:dyDescent="0.3">
      <c r="C72" s="20">
        <v>63</v>
      </c>
      <c r="D72" s="19" t="s">
        <v>1530</v>
      </c>
      <c r="F72" s="24" t="s">
        <v>12</v>
      </c>
      <c r="G72" s="3"/>
      <c r="H72" s="3"/>
      <c r="I72" s="3"/>
    </row>
    <row r="73" spans="3:9" ht="15.7" customHeight="1" x14ac:dyDescent="0.3">
      <c r="C73" s="20">
        <v>64</v>
      </c>
      <c r="D73" s="19" t="s">
        <v>1531</v>
      </c>
      <c r="F73" s="24" t="s">
        <v>12</v>
      </c>
      <c r="G73" s="3"/>
      <c r="H73" s="3"/>
      <c r="I73" s="3"/>
    </row>
    <row r="74" spans="3:9" ht="15.7" customHeight="1" x14ac:dyDescent="0.3">
      <c r="C74" s="20">
        <v>65</v>
      </c>
      <c r="D74" s="19" t="s">
        <v>1532</v>
      </c>
      <c r="F74" s="24" t="s">
        <v>12</v>
      </c>
      <c r="G74" s="3"/>
      <c r="H74" s="3"/>
      <c r="I74" s="3"/>
    </row>
    <row r="75" spans="3:9" ht="15.7" customHeight="1" x14ac:dyDescent="0.3">
      <c r="C75" s="20">
        <v>66</v>
      </c>
      <c r="D75" s="19" t="s">
        <v>1533</v>
      </c>
      <c r="F75" s="24" t="s">
        <v>12</v>
      </c>
      <c r="G75" s="3"/>
      <c r="H75" s="3"/>
      <c r="I75" s="3"/>
    </row>
    <row r="76" spans="3:9" ht="15.7" customHeight="1" x14ac:dyDescent="0.3">
      <c r="C76" s="20">
        <v>67</v>
      </c>
      <c r="D76" s="19" t="s">
        <v>1320</v>
      </c>
      <c r="F76" s="24" t="s">
        <v>12</v>
      </c>
      <c r="G76" s="3"/>
      <c r="H76" s="3"/>
      <c r="I76" s="3"/>
    </row>
    <row r="77" spans="3:9" ht="15.7" customHeight="1" x14ac:dyDescent="0.3">
      <c r="C77" s="20">
        <v>68</v>
      </c>
      <c r="D77" s="19" t="s">
        <v>1534</v>
      </c>
      <c r="F77" s="24" t="s">
        <v>12</v>
      </c>
      <c r="G77" s="3"/>
      <c r="H77" s="3"/>
      <c r="I77" s="3"/>
    </row>
    <row r="78" spans="3:9" ht="15.7" customHeight="1" x14ac:dyDescent="0.3">
      <c r="C78" s="20">
        <v>69</v>
      </c>
      <c r="D78" s="19" t="s">
        <v>1535</v>
      </c>
      <c r="F78" s="24" t="s">
        <v>12</v>
      </c>
      <c r="G78" s="3"/>
      <c r="H78" s="3"/>
      <c r="I78" s="3"/>
    </row>
    <row r="79" spans="3:9" ht="15.7" customHeight="1" x14ac:dyDescent="0.3">
      <c r="C79" s="20">
        <v>70</v>
      </c>
      <c r="D79" s="19" t="s">
        <v>1536</v>
      </c>
      <c r="F79" s="24" t="s">
        <v>12</v>
      </c>
      <c r="G79" s="3"/>
      <c r="H79" s="3"/>
      <c r="I79" s="3"/>
    </row>
    <row r="80" spans="3:9" ht="15.7" customHeight="1" x14ac:dyDescent="0.3">
      <c r="C80" s="20">
        <v>71</v>
      </c>
      <c r="D80" s="19" t="s">
        <v>1563</v>
      </c>
      <c r="F80" s="24" t="s">
        <v>12</v>
      </c>
      <c r="G80" s="3"/>
      <c r="H80" s="3"/>
      <c r="I80" s="3"/>
    </row>
    <row r="81" spans="3:9" ht="15.7" customHeight="1" x14ac:dyDescent="0.3">
      <c r="C81" s="20">
        <v>72</v>
      </c>
      <c r="D81" s="19" t="s">
        <v>1537</v>
      </c>
      <c r="F81" s="24" t="s">
        <v>12</v>
      </c>
      <c r="G81" s="3"/>
      <c r="H81" s="3"/>
      <c r="I81" s="3"/>
    </row>
    <row r="82" spans="3:9" ht="15.7" customHeight="1" x14ac:dyDescent="0.3">
      <c r="C82" s="20">
        <v>73</v>
      </c>
      <c r="D82" s="19" t="s">
        <v>1321</v>
      </c>
      <c r="F82" s="24" t="s">
        <v>12</v>
      </c>
      <c r="G82" s="3"/>
      <c r="H82" s="3"/>
      <c r="I82" s="3"/>
    </row>
    <row r="83" spans="3:9" ht="15.7" customHeight="1" x14ac:dyDescent="0.3">
      <c r="C83" s="20">
        <v>74</v>
      </c>
      <c r="D83" s="19" t="s">
        <v>1538</v>
      </c>
      <c r="F83" s="24" t="s">
        <v>12</v>
      </c>
      <c r="G83" s="3"/>
      <c r="H83" s="3"/>
      <c r="I83" s="3"/>
    </row>
    <row r="84" spans="3:9" ht="15.7" customHeight="1" x14ac:dyDescent="0.3">
      <c r="C84" s="20">
        <v>75</v>
      </c>
      <c r="D84" s="19" t="s">
        <v>1539</v>
      </c>
      <c r="F84" s="24" t="s">
        <v>12</v>
      </c>
      <c r="G84" s="3"/>
      <c r="H84" s="3"/>
      <c r="I84" s="3"/>
    </row>
    <row r="85" spans="3:9" ht="15.7" customHeight="1" x14ac:dyDescent="0.3">
      <c r="C85" s="20">
        <v>76</v>
      </c>
      <c r="D85" s="19" t="s">
        <v>1540</v>
      </c>
      <c r="F85" s="24" t="s">
        <v>12</v>
      </c>
      <c r="G85" s="3"/>
      <c r="H85" s="3"/>
      <c r="I85" s="3"/>
    </row>
    <row r="86" spans="3:9" ht="15.7" customHeight="1" x14ac:dyDescent="0.3">
      <c r="C86" s="20">
        <v>77</v>
      </c>
      <c r="D86" s="19" t="s">
        <v>1541</v>
      </c>
      <c r="F86" s="24" t="s">
        <v>12</v>
      </c>
      <c r="G86" s="3"/>
      <c r="H86" s="3"/>
      <c r="I86" s="3"/>
    </row>
    <row r="87" spans="3:9" ht="15.7" customHeight="1" x14ac:dyDescent="0.3">
      <c r="C87" s="20">
        <v>78</v>
      </c>
      <c r="D87" s="19" t="s">
        <v>1542</v>
      </c>
      <c r="F87" s="24" t="s">
        <v>12</v>
      </c>
      <c r="G87" s="3"/>
      <c r="H87" s="3"/>
      <c r="I87" s="3"/>
    </row>
    <row r="88" spans="3:9" ht="15.7" customHeight="1" x14ac:dyDescent="0.3">
      <c r="C88" s="20">
        <v>79</v>
      </c>
      <c r="D88" s="19" t="s">
        <v>1543</v>
      </c>
      <c r="F88" s="24" t="s">
        <v>12</v>
      </c>
      <c r="G88" s="3"/>
      <c r="H88" s="3"/>
      <c r="I88" s="3"/>
    </row>
    <row r="89" spans="3:9" ht="15.7" customHeight="1" x14ac:dyDescent="0.3">
      <c r="C89" s="20">
        <v>80</v>
      </c>
      <c r="D89" s="19" t="s">
        <v>1544</v>
      </c>
      <c r="F89" s="24" t="s">
        <v>12</v>
      </c>
      <c r="G89" s="3"/>
      <c r="H89" s="3"/>
      <c r="I89" s="3"/>
    </row>
    <row r="90" spans="3:9" ht="15.7" customHeight="1" x14ac:dyDescent="0.3">
      <c r="C90" s="20">
        <v>81</v>
      </c>
      <c r="D90" s="19" t="s">
        <v>1545</v>
      </c>
      <c r="F90" s="24" t="s">
        <v>12</v>
      </c>
      <c r="G90" s="3"/>
      <c r="H90" s="3"/>
      <c r="I90" s="3"/>
    </row>
    <row r="91" spans="3:9" ht="15.7" customHeight="1" x14ac:dyDescent="0.3">
      <c r="C91" s="20">
        <v>82</v>
      </c>
      <c r="D91" s="19" t="s">
        <v>1546</v>
      </c>
      <c r="F91" s="24" t="s">
        <v>12</v>
      </c>
      <c r="G91" s="3"/>
      <c r="H91" s="3"/>
      <c r="I91" s="3"/>
    </row>
    <row r="92" spans="3:9" ht="15.7" customHeight="1" x14ac:dyDescent="0.3">
      <c r="C92" s="20">
        <v>83</v>
      </c>
      <c r="D92" s="19" t="s">
        <v>1547</v>
      </c>
      <c r="F92" s="24" t="s">
        <v>12</v>
      </c>
      <c r="G92" s="3"/>
      <c r="H92" s="3"/>
      <c r="I92" s="3"/>
    </row>
    <row r="93" spans="3:9" ht="15.7" customHeight="1" x14ac:dyDescent="0.3">
      <c r="C93" s="20">
        <v>84</v>
      </c>
      <c r="D93" s="19" t="s">
        <v>1548</v>
      </c>
      <c r="F93" s="24" t="s">
        <v>12</v>
      </c>
      <c r="G93" s="3"/>
      <c r="H93" s="3"/>
      <c r="I93" s="3"/>
    </row>
    <row r="94" spans="3:9" s="54" customFormat="1" ht="15.7" customHeight="1" x14ac:dyDescent="0.3">
      <c r="C94" s="20">
        <v>85</v>
      </c>
      <c r="D94" s="19" t="s">
        <v>1549</v>
      </c>
      <c r="F94" s="24" t="s">
        <v>12</v>
      </c>
      <c r="G94" s="3"/>
      <c r="H94" s="3"/>
      <c r="I94" s="3"/>
    </row>
    <row r="95" spans="3:9" ht="15.7" customHeight="1" x14ac:dyDescent="0.3"/>
    <row r="96" spans="3:9" ht="15.7" customHeight="1" x14ac:dyDescent="0.3">
      <c r="C96" s="88" t="s">
        <v>14</v>
      </c>
      <c r="D96" s="70"/>
      <c r="F96" s="6" t="s">
        <v>1</v>
      </c>
      <c r="G96" s="6" t="s">
        <v>3</v>
      </c>
      <c r="H96" s="6" t="s">
        <v>5</v>
      </c>
      <c r="I96" s="6" t="s">
        <v>10</v>
      </c>
    </row>
    <row r="97" spans="3:9" ht="15.7" customHeight="1" x14ac:dyDescent="0.3">
      <c r="C97" s="33">
        <v>1</v>
      </c>
      <c r="D97" t="s">
        <v>1564</v>
      </c>
      <c r="F97" s="24" t="s">
        <v>12</v>
      </c>
      <c r="G97" s="3"/>
      <c r="H97" s="3"/>
      <c r="I97" s="3"/>
    </row>
    <row r="98" spans="3:9" ht="15.7" customHeight="1" x14ac:dyDescent="0.3">
      <c r="C98" s="20">
        <v>2</v>
      </c>
      <c r="D98" t="s">
        <v>1565</v>
      </c>
      <c r="F98" s="24" t="s">
        <v>12</v>
      </c>
      <c r="G98" s="3"/>
      <c r="H98" s="3"/>
      <c r="I98" s="3"/>
    </row>
    <row r="99" spans="3:9" ht="15.7" customHeight="1" x14ac:dyDescent="0.3">
      <c r="C99" s="20">
        <v>3</v>
      </c>
      <c r="D99" t="s">
        <v>1566</v>
      </c>
      <c r="F99" s="24" t="s">
        <v>12</v>
      </c>
      <c r="G99" s="3"/>
      <c r="H99" s="3"/>
      <c r="I99" s="3"/>
    </row>
    <row r="100" spans="3:9" ht="15.7" customHeight="1" x14ac:dyDescent="0.3">
      <c r="C100" s="33">
        <v>4</v>
      </c>
      <c r="D100" t="s">
        <v>1567</v>
      </c>
      <c r="F100" s="24" t="s">
        <v>12</v>
      </c>
      <c r="G100" s="3"/>
      <c r="H100" s="3"/>
      <c r="I100" s="3"/>
    </row>
    <row r="101" spans="3:9" ht="15.7" customHeight="1" x14ac:dyDescent="0.3">
      <c r="C101" s="20">
        <v>5</v>
      </c>
      <c r="D101" t="s">
        <v>1568</v>
      </c>
      <c r="F101" s="24" t="s">
        <v>12</v>
      </c>
      <c r="G101" s="3"/>
      <c r="H101" s="3"/>
      <c r="I101" s="3"/>
    </row>
    <row r="102" spans="3:9" ht="15.7" customHeight="1" x14ac:dyDescent="0.3">
      <c r="C102" s="20">
        <v>6</v>
      </c>
      <c r="D102" t="s">
        <v>1569</v>
      </c>
      <c r="F102" s="24" t="s">
        <v>12</v>
      </c>
      <c r="G102" s="3"/>
      <c r="H102" s="3"/>
      <c r="I102" s="3"/>
    </row>
    <row r="103" spans="3:9" ht="15.7" customHeight="1" x14ac:dyDescent="0.3">
      <c r="C103" s="33">
        <v>7</v>
      </c>
      <c r="D103" t="s">
        <v>1570</v>
      </c>
      <c r="F103" s="24" t="s">
        <v>12</v>
      </c>
      <c r="G103" s="3"/>
      <c r="H103" s="3"/>
      <c r="I103" s="3"/>
    </row>
    <row r="104" spans="3:9" ht="15.7" customHeight="1" x14ac:dyDescent="0.3">
      <c r="C104" s="20">
        <v>8</v>
      </c>
      <c r="D104" t="s">
        <v>1571</v>
      </c>
      <c r="F104" s="24" t="s">
        <v>12</v>
      </c>
      <c r="G104" s="3"/>
      <c r="H104" s="3"/>
      <c r="I104" s="3"/>
    </row>
    <row r="105" spans="3:9" ht="15.7" customHeight="1" x14ac:dyDescent="0.3">
      <c r="C105" s="20">
        <v>9</v>
      </c>
      <c r="D105" t="s">
        <v>1572</v>
      </c>
      <c r="F105" s="24" t="s">
        <v>12</v>
      </c>
      <c r="G105" s="3"/>
      <c r="H105" s="3"/>
      <c r="I105" s="3"/>
    </row>
    <row r="106" spans="3:9" ht="15.7" customHeight="1" x14ac:dyDescent="0.3">
      <c r="C106" s="33">
        <v>10</v>
      </c>
      <c r="D106" t="s">
        <v>1573</v>
      </c>
      <c r="F106" s="24" t="s">
        <v>12</v>
      </c>
      <c r="G106" s="3"/>
      <c r="H106" s="3"/>
      <c r="I106" s="3"/>
    </row>
    <row r="107" spans="3:9" ht="15.7" customHeight="1" x14ac:dyDescent="0.3">
      <c r="C107" s="20">
        <v>11</v>
      </c>
      <c r="D107" t="s">
        <v>1574</v>
      </c>
      <c r="F107" s="24" t="s">
        <v>12</v>
      </c>
      <c r="G107" s="3"/>
      <c r="H107" s="3"/>
      <c r="I107" s="3"/>
    </row>
    <row r="108" spans="3:9" ht="15.7" customHeight="1" x14ac:dyDescent="0.3">
      <c r="C108" s="20">
        <v>12</v>
      </c>
      <c r="D108" t="s">
        <v>1575</v>
      </c>
      <c r="F108" s="24" t="s">
        <v>12</v>
      </c>
      <c r="G108" s="3"/>
      <c r="H108" s="3"/>
      <c r="I108" s="3"/>
    </row>
    <row r="109" spans="3:9" ht="15.7" customHeight="1" x14ac:dyDescent="0.3">
      <c r="C109" s="33">
        <v>13</v>
      </c>
      <c r="D109" t="s">
        <v>1576</v>
      </c>
      <c r="F109" s="24" t="s">
        <v>12</v>
      </c>
      <c r="G109" s="3"/>
      <c r="H109" s="3"/>
      <c r="I109" s="3"/>
    </row>
    <row r="110" spans="3:9" ht="15.7" customHeight="1" x14ac:dyDescent="0.3">
      <c r="C110" s="20">
        <v>14</v>
      </c>
      <c r="D110" t="s">
        <v>1577</v>
      </c>
      <c r="F110" s="24" t="s">
        <v>12</v>
      </c>
      <c r="G110" s="3"/>
      <c r="H110" s="3"/>
      <c r="I110" s="3"/>
    </row>
    <row r="111" spans="3:9" ht="15.7" customHeight="1" x14ac:dyDescent="0.3">
      <c r="C111" s="20">
        <v>15</v>
      </c>
      <c r="D111" t="s">
        <v>1578</v>
      </c>
      <c r="F111" s="24" t="s">
        <v>12</v>
      </c>
      <c r="G111" s="3"/>
      <c r="H111" s="3"/>
      <c r="I111" s="3"/>
    </row>
    <row r="112" spans="3:9" ht="15.7" customHeight="1" x14ac:dyDescent="0.3">
      <c r="C112" s="33">
        <v>16</v>
      </c>
      <c r="D112" t="s">
        <v>1579</v>
      </c>
      <c r="F112" s="24" t="s">
        <v>12</v>
      </c>
      <c r="G112" s="3"/>
      <c r="H112" s="3"/>
      <c r="I112" s="3"/>
    </row>
    <row r="113" spans="3:9" ht="15.7" customHeight="1" x14ac:dyDescent="0.3">
      <c r="C113" s="20">
        <v>17</v>
      </c>
      <c r="D113" t="s">
        <v>1580</v>
      </c>
      <c r="F113" s="24" t="s">
        <v>12</v>
      </c>
      <c r="G113" s="3"/>
      <c r="H113" s="3"/>
      <c r="I113" s="3"/>
    </row>
    <row r="114" spans="3:9" ht="15.7" customHeight="1" x14ac:dyDescent="0.3">
      <c r="C114" s="20">
        <v>18</v>
      </c>
      <c r="D114" t="s">
        <v>1581</v>
      </c>
      <c r="F114" s="24" t="s">
        <v>12</v>
      </c>
      <c r="G114" s="3"/>
      <c r="H114" s="3"/>
      <c r="I114" s="3"/>
    </row>
    <row r="115" spans="3:9" ht="15.7" customHeight="1" x14ac:dyDescent="0.3">
      <c r="C115" s="33">
        <v>19</v>
      </c>
      <c r="D115" t="s">
        <v>1582</v>
      </c>
      <c r="F115" s="24" t="s">
        <v>12</v>
      </c>
      <c r="G115" s="3"/>
      <c r="H115" s="3"/>
      <c r="I115" s="3"/>
    </row>
    <row r="116" spans="3:9" ht="15.7" customHeight="1" x14ac:dyDescent="0.3">
      <c r="C116" s="20">
        <v>20</v>
      </c>
      <c r="D116" t="s">
        <v>1583</v>
      </c>
      <c r="F116" s="24" t="s">
        <v>12</v>
      </c>
      <c r="G116" s="3"/>
      <c r="H116" s="3"/>
      <c r="I116" s="3"/>
    </row>
    <row r="117" spans="3:9" ht="15.7" customHeight="1" x14ac:dyDescent="0.3">
      <c r="C117" s="20">
        <v>21</v>
      </c>
      <c r="D117" t="s">
        <v>1584</v>
      </c>
      <c r="F117" s="24" t="s">
        <v>12</v>
      </c>
      <c r="G117" s="3"/>
      <c r="H117" s="3"/>
      <c r="I117" s="3"/>
    </row>
    <row r="118" spans="3:9" ht="15.7" customHeight="1" x14ac:dyDescent="0.3">
      <c r="C118" s="33">
        <v>22</v>
      </c>
      <c r="D118" t="s">
        <v>1585</v>
      </c>
      <c r="F118" s="24" t="s">
        <v>12</v>
      </c>
      <c r="G118" s="3"/>
      <c r="H118" s="3"/>
      <c r="I118" s="3"/>
    </row>
    <row r="119" spans="3:9" ht="15.7" customHeight="1" x14ac:dyDescent="0.3">
      <c r="C119" s="20">
        <v>23</v>
      </c>
      <c r="D119" t="s">
        <v>1586</v>
      </c>
      <c r="F119" s="24" t="s">
        <v>12</v>
      </c>
      <c r="G119" s="3"/>
      <c r="H119" s="3"/>
      <c r="I119" s="3"/>
    </row>
    <row r="120" spans="3:9" ht="15.7" customHeight="1" x14ac:dyDescent="0.3">
      <c r="C120" s="20">
        <v>24</v>
      </c>
      <c r="D120" t="s">
        <v>1587</v>
      </c>
      <c r="F120" s="24" t="s">
        <v>12</v>
      </c>
      <c r="G120" s="3"/>
      <c r="H120" s="3"/>
      <c r="I120" s="3"/>
    </row>
    <row r="121" spans="3:9" ht="15.7" customHeight="1" x14ac:dyDescent="0.3">
      <c r="C121" s="33">
        <v>25</v>
      </c>
      <c r="D121" t="s">
        <v>1588</v>
      </c>
      <c r="F121" s="24" t="s">
        <v>12</v>
      </c>
      <c r="G121" s="3"/>
      <c r="H121" s="3"/>
      <c r="I121" s="3"/>
    </row>
    <row r="122" spans="3:9" ht="15.7" customHeight="1" x14ac:dyDescent="0.3">
      <c r="C122" s="20">
        <v>26</v>
      </c>
      <c r="D122" t="s">
        <v>1589</v>
      </c>
      <c r="F122" s="24" t="s">
        <v>12</v>
      </c>
      <c r="G122" s="3"/>
      <c r="H122" s="3"/>
      <c r="I122" s="3"/>
    </row>
    <row r="123" spans="3:9" ht="15.7" customHeight="1" x14ac:dyDescent="0.3">
      <c r="C123" s="20">
        <v>27</v>
      </c>
      <c r="D123" t="s">
        <v>1590</v>
      </c>
      <c r="F123" s="24" t="s">
        <v>12</v>
      </c>
      <c r="G123" s="3"/>
      <c r="H123" s="3"/>
      <c r="I123" s="3"/>
    </row>
    <row r="124" spans="3:9" ht="15.7" customHeight="1" x14ac:dyDescent="0.3">
      <c r="C124" s="33">
        <v>28</v>
      </c>
      <c r="D124" t="s">
        <v>1591</v>
      </c>
      <c r="F124" s="24" t="s">
        <v>12</v>
      </c>
      <c r="G124" s="3"/>
      <c r="H124" s="3"/>
      <c r="I124" s="3"/>
    </row>
    <row r="125" spans="3:9" ht="15.7" customHeight="1" x14ac:dyDescent="0.3">
      <c r="C125" s="20">
        <v>29</v>
      </c>
      <c r="D125" t="s">
        <v>1592</v>
      </c>
      <c r="F125" s="24" t="s">
        <v>12</v>
      </c>
      <c r="G125" s="3"/>
      <c r="H125" s="3"/>
      <c r="I125" s="3"/>
    </row>
    <row r="126" spans="3:9" ht="15.7" customHeight="1" x14ac:dyDescent="0.3">
      <c r="C126" s="20">
        <v>30</v>
      </c>
      <c r="D126" t="s">
        <v>1593</v>
      </c>
      <c r="F126" s="24" t="s">
        <v>12</v>
      </c>
      <c r="G126" s="3"/>
      <c r="H126" s="3"/>
      <c r="I126" s="3"/>
    </row>
    <row r="127" spans="3:9" ht="15.7" customHeight="1" x14ac:dyDescent="0.3">
      <c r="C127" s="33">
        <v>31</v>
      </c>
      <c r="D127" t="s">
        <v>1594</v>
      </c>
      <c r="F127" s="24" t="s">
        <v>12</v>
      </c>
      <c r="G127" s="3"/>
      <c r="H127" s="3"/>
      <c r="I127" s="3"/>
    </row>
    <row r="128" spans="3:9" ht="15.7" customHeight="1" x14ac:dyDescent="0.3">
      <c r="C128" s="20">
        <v>32</v>
      </c>
      <c r="D128" t="s">
        <v>1595</v>
      </c>
      <c r="F128" s="24" t="s">
        <v>12</v>
      </c>
      <c r="G128" s="3"/>
      <c r="H128" s="3"/>
      <c r="I128" s="3"/>
    </row>
    <row r="129" spans="3:9" ht="15.7" customHeight="1" x14ac:dyDescent="0.3">
      <c r="C129" s="20">
        <v>33</v>
      </c>
      <c r="D129" t="s">
        <v>1596</v>
      </c>
      <c r="F129" s="24" t="s">
        <v>12</v>
      </c>
      <c r="G129" s="3"/>
      <c r="H129" s="3"/>
      <c r="I129" s="3"/>
    </row>
    <row r="130" spans="3:9" ht="15.7" customHeight="1" x14ac:dyDescent="0.3">
      <c r="C130" s="33">
        <v>34</v>
      </c>
      <c r="D130" t="s">
        <v>1597</v>
      </c>
      <c r="F130" s="24" t="s">
        <v>12</v>
      </c>
      <c r="G130" s="3"/>
      <c r="H130" s="3"/>
      <c r="I130" s="3"/>
    </row>
    <row r="131" spans="3:9" s="54" customFormat="1" ht="15.7" customHeight="1" x14ac:dyDescent="0.3">
      <c r="C131" s="55">
        <v>35</v>
      </c>
      <c r="D131" t="s">
        <v>1598</v>
      </c>
      <c r="F131" s="24" t="s">
        <v>12</v>
      </c>
      <c r="G131" s="3"/>
      <c r="H131" s="3"/>
      <c r="I131" s="3"/>
    </row>
    <row r="132" spans="3:9" s="54" customFormat="1" ht="15.7" customHeight="1" x14ac:dyDescent="0.3">
      <c r="C132" s="55">
        <v>36</v>
      </c>
      <c r="D132" t="s">
        <v>1484</v>
      </c>
      <c r="F132" s="24" t="s">
        <v>12</v>
      </c>
      <c r="G132" s="3"/>
      <c r="H132" s="3"/>
      <c r="I132" s="3"/>
    </row>
    <row r="133" spans="3:9" s="54" customFormat="1" ht="15.7" customHeight="1" x14ac:dyDescent="0.3">
      <c r="C133" s="20">
        <v>37</v>
      </c>
      <c r="D133" t="s">
        <v>1599</v>
      </c>
      <c r="F133" s="24" t="s">
        <v>12</v>
      </c>
      <c r="G133" s="3"/>
      <c r="H133" s="3"/>
      <c r="I133" s="3"/>
    </row>
    <row r="134" spans="3:9" s="54" customFormat="1" ht="15.7" customHeight="1" x14ac:dyDescent="0.3">
      <c r="C134" s="55">
        <v>38</v>
      </c>
      <c r="D134" t="s">
        <v>1600</v>
      </c>
      <c r="F134" s="24" t="s">
        <v>12</v>
      </c>
      <c r="G134" s="3"/>
      <c r="H134" s="3"/>
      <c r="I134" s="3"/>
    </row>
    <row r="135" spans="3:9" s="54" customFormat="1" ht="15.7" customHeight="1" x14ac:dyDescent="0.3">
      <c r="C135" s="55">
        <v>39</v>
      </c>
      <c r="D135" t="s">
        <v>324</v>
      </c>
      <c r="F135" s="24" t="s">
        <v>12</v>
      </c>
      <c r="G135" s="3"/>
      <c r="H135" s="3"/>
      <c r="I135" s="3"/>
    </row>
    <row r="136" spans="3:9" s="54" customFormat="1" ht="15.7" customHeight="1" x14ac:dyDescent="0.3">
      <c r="C136" s="55">
        <v>40</v>
      </c>
      <c r="D136" t="s">
        <v>719</v>
      </c>
      <c r="F136" s="24" t="s">
        <v>12</v>
      </c>
      <c r="G136" s="3"/>
      <c r="H136" s="3"/>
      <c r="I136" s="3"/>
    </row>
    <row r="137" spans="3:9" s="54" customFormat="1" ht="15.7" customHeight="1" x14ac:dyDescent="0.3">
      <c r="C137" s="20">
        <v>41</v>
      </c>
      <c r="D137" t="s">
        <v>1601</v>
      </c>
      <c r="F137" s="24" t="s">
        <v>12</v>
      </c>
      <c r="G137" s="3"/>
      <c r="H137" s="3"/>
      <c r="I137" s="3"/>
    </row>
    <row r="138" spans="3:9" s="54" customFormat="1" ht="15.7" customHeight="1" x14ac:dyDescent="0.3">
      <c r="C138" s="55">
        <v>42</v>
      </c>
      <c r="D138" t="s">
        <v>1487</v>
      </c>
      <c r="F138" s="24" t="s">
        <v>12</v>
      </c>
      <c r="G138" s="3"/>
      <c r="H138" s="3"/>
      <c r="I138" s="3"/>
    </row>
    <row r="139" spans="3:9" s="54" customFormat="1" ht="15.7" customHeight="1" x14ac:dyDescent="0.3">
      <c r="C139" s="55">
        <v>43</v>
      </c>
      <c r="D139" t="s">
        <v>1488</v>
      </c>
      <c r="F139" s="24" t="s">
        <v>12</v>
      </c>
      <c r="G139" s="3"/>
      <c r="H139" s="3"/>
      <c r="I139" s="3"/>
    </row>
    <row r="140" spans="3:9" s="54" customFormat="1" ht="15.7" customHeight="1" x14ac:dyDescent="0.3">
      <c r="C140" s="55">
        <v>44</v>
      </c>
      <c r="D140" t="s">
        <v>1602</v>
      </c>
      <c r="F140" s="24" t="s">
        <v>12</v>
      </c>
      <c r="G140" s="3"/>
      <c r="H140" s="3"/>
      <c r="I140" s="3"/>
    </row>
    <row r="141" spans="3:9" s="54" customFormat="1" ht="15.7" customHeight="1" x14ac:dyDescent="0.3">
      <c r="C141" s="20">
        <v>45</v>
      </c>
      <c r="D141" t="s">
        <v>1603</v>
      </c>
      <c r="F141" s="24" t="s">
        <v>12</v>
      </c>
      <c r="G141" s="3"/>
      <c r="H141" s="3"/>
      <c r="I141" s="3"/>
    </row>
    <row r="142" spans="3:9" s="54" customFormat="1" ht="15.7" customHeight="1" x14ac:dyDescent="0.3">
      <c r="C142" s="55">
        <v>46</v>
      </c>
      <c r="D142" t="s">
        <v>1604</v>
      </c>
      <c r="F142" s="24" t="s">
        <v>12</v>
      </c>
      <c r="G142" s="3"/>
      <c r="H142" s="3"/>
      <c r="I142" s="3"/>
    </row>
    <row r="143" spans="3:9" s="54" customFormat="1" ht="15.7" customHeight="1" x14ac:dyDescent="0.3">
      <c r="C143" s="55">
        <v>47</v>
      </c>
      <c r="D143" t="s">
        <v>1605</v>
      </c>
      <c r="F143" s="24" t="s">
        <v>12</v>
      </c>
      <c r="G143" s="3"/>
      <c r="H143" s="3"/>
      <c r="I143" s="3"/>
    </row>
    <row r="144" spans="3:9" s="54" customFormat="1" ht="15.7" customHeight="1" x14ac:dyDescent="0.3">
      <c r="C144" s="55">
        <v>48</v>
      </c>
      <c r="D144" t="s">
        <v>1606</v>
      </c>
      <c r="F144" s="24" t="s">
        <v>12</v>
      </c>
      <c r="G144" s="3"/>
      <c r="H144" s="3"/>
      <c r="I144" s="3"/>
    </row>
    <row r="145" spans="3:9" s="54" customFormat="1" ht="15.7" customHeight="1" x14ac:dyDescent="0.3">
      <c r="C145" s="20">
        <v>49</v>
      </c>
      <c r="D145" t="s">
        <v>1607</v>
      </c>
      <c r="F145" s="24" t="s">
        <v>12</v>
      </c>
      <c r="G145" s="3"/>
      <c r="H145" s="3"/>
      <c r="I145" s="3"/>
    </row>
    <row r="146" spans="3:9" s="54" customFormat="1" ht="15.7" customHeight="1" x14ac:dyDescent="0.3">
      <c r="C146" s="55">
        <v>50</v>
      </c>
      <c r="D146" t="s">
        <v>1608</v>
      </c>
      <c r="F146" s="24" t="s">
        <v>12</v>
      </c>
      <c r="G146" s="3"/>
      <c r="H146" s="3"/>
      <c r="I146" s="3"/>
    </row>
    <row r="147" spans="3:9" s="54" customFormat="1" ht="15.7" customHeight="1" x14ac:dyDescent="0.3">
      <c r="C147" s="55">
        <v>51</v>
      </c>
      <c r="D147" t="s">
        <v>1609</v>
      </c>
      <c r="F147" s="24" t="s">
        <v>12</v>
      </c>
      <c r="G147" s="3"/>
      <c r="H147" s="3"/>
      <c r="I147" s="3"/>
    </row>
    <row r="148" spans="3:9" s="54" customFormat="1" ht="15.7" customHeight="1" x14ac:dyDescent="0.3">
      <c r="C148" s="55">
        <v>52</v>
      </c>
      <c r="D148" t="s">
        <v>1610</v>
      </c>
      <c r="F148" s="24" t="s">
        <v>12</v>
      </c>
      <c r="G148" s="3"/>
      <c r="H148" s="3"/>
      <c r="I148" s="3"/>
    </row>
    <row r="149" spans="3:9" s="54" customFormat="1" ht="15.7" customHeight="1" x14ac:dyDescent="0.3">
      <c r="C149" s="20">
        <v>53</v>
      </c>
      <c r="D149" t="s">
        <v>1611</v>
      </c>
      <c r="F149" s="24" t="s">
        <v>12</v>
      </c>
      <c r="G149" s="3"/>
      <c r="H149" s="3"/>
      <c r="I149" s="3"/>
    </row>
    <row r="150" spans="3:9" ht="15.7" customHeight="1" x14ac:dyDescent="0.3"/>
    <row r="151" spans="3:9" ht="15.7" customHeight="1" x14ac:dyDescent="0.3"/>
    <row r="152" spans="3:9" ht="15.7" customHeight="1" x14ac:dyDescent="0.3"/>
    <row r="153" spans="3:9" ht="15.7" customHeight="1" x14ac:dyDescent="0.3"/>
    <row r="154" spans="3:9" ht="15.7" customHeight="1" x14ac:dyDescent="0.3"/>
    <row r="155" spans="3:9" ht="15.7" customHeight="1" x14ac:dyDescent="0.3"/>
    <row r="156" spans="3:9" ht="15.7" customHeight="1" x14ac:dyDescent="0.3"/>
    <row r="157" spans="3:9" ht="15.7" customHeight="1" x14ac:dyDescent="0.3"/>
    <row r="158" spans="3:9" ht="15.7" customHeight="1" x14ac:dyDescent="0.3"/>
    <row r="159" spans="3:9" ht="15.7" customHeight="1" x14ac:dyDescent="0.3"/>
    <row r="160" spans="3:9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  <row r="1066" ht="15.7" customHeight="1" x14ac:dyDescent="0.3"/>
    <row r="1067" ht="15.7" customHeight="1" x14ac:dyDescent="0.3"/>
    <row r="1068" ht="15.7" customHeight="1" x14ac:dyDescent="0.3"/>
    <row r="1069" ht="15.7" customHeight="1" x14ac:dyDescent="0.3"/>
    <row r="1070" ht="15.7" customHeight="1" x14ac:dyDescent="0.3"/>
    <row r="1071" ht="15.7" customHeight="1" x14ac:dyDescent="0.3"/>
    <row r="1072" ht="15.7" customHeight="1" x14ac:dyDescent="0.3"/>
    <row r="1073" ht="15.7" customHeight="1" x14ac:dyDescent="0.3"/>
    <row r="1074" ht="15.7" customHeight="1" x14ac:dyDescent="0.3"/>
    <row r="1075" ht="15.7" customHeight="1" x14ac:dyDescent="0.3"/>
    <row r="1076" ht="15.7" customHeight="1" x14ac:dyDescent="0.3"/>
    <row r="1077" ht="15.7" customHeight="1" x14ac:dyDescent="0.3"/>
    <row r="1078" ht="15.7" customHeight="1" x14ac:dyDescent="0.3"/>
    <row r="1079" ht="15.7" customHeight="1" x14ac:dyDescent="0.3"/>
    <row r="1080" ht="15.7" customHeight="1" x14ac:dyDescent="0.3"/>
    <row r="1081" ht="15.7" customHeight="1" x14ac:dyDescent="0.3"/>
    <row r="1082" ht="15.7" customHeight="1" x14ac:dyDescent="0.3"/>
    <row r="1083" ht="15.7" customHeight="1" x14ac:dyDescent="0.3"/>
  </sheetData>
  <mergeCells count="4">
    <mergeCell ref="B2:I2"/>
    <mergeCell ref="F8:H8"/>
    <mergeCell ref="C9:D9"/>
    <mergeCell ref="C96:D9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59996337778862885"/>
  </sheetPr>
  <dimension ref="B1:I1082"/>
  <sheetViews>
    <sheetView workbookViewId="0">
      <selection activeCell="D1" sqref="D1"/>
    </sheetView>
  </sheetViews>
  <sheetFormatPr baseColWidth="10" defaultColWidth="14.3984375" defaultRowHeight="14.4" x14ac:dyDescent="0.3"/>
  <cols>
    <col min="1" max="1" width="9.09765625" customWidth="1"/>
    <col min="2" max="2" width="5" customWidth="1"/>
    <col min="3" max="3" width="8" customWidth="1"/>
    <col min="4" max="4" width="151.69921875" customWidth="1"/>
    <col min="5" max="5" width="6.3984375" customWidth="1"/>
    <col min="6" max="8" width="8" customWidth="1"/>
    <col min="9" max="9" width="54" customWidth="1"/>
    <col min="10" max="26" width="9.09765625" customWidth="1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1796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19" t="s">
        <v>1649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19" t="s">
        <v>1650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19" t="s">
        <v>1562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19" t="s">
        <v>1527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19" t="s">
        <v>1528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19" t="s">
        <v>1612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19" t="s">
        <v>1613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19" t="s">
        <v>1614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19" t="s">
        <v>615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19" t="s">
        <v>616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19" t="s">
        <v>1615</v>
      </c>
      <c r="F20" s="24" t="s">
        <v>12</v>
      </c>
      <c r="G20" s="3"/>
      <c r="H20" s="3"/>
      <c r="I20" s="3"/>
    </row>
    <row r="21" spans="3:9" x14ac:dyDescent="0.3">
      <c r="C21" s="20">
        <v>12</v>
      </c>
      <c r="D21" s="19" t="s">
        <v>618</v>
      </c>
      <c r="F21" s="24" t="s">
        <v>12</v>
      </c>
      <c r="G21" s="3"/>
      <c r="H21" s="3"/>
      <c r="I21" s="3"/>
    </row>
    <row r="22" spans="3:9" x14ac:dyDescent="0.3">
      <c r="C22" s="20">
        <v>13</v>
      </c>
      <c r="D22" s="19" t="s">
        <v>1533</v>
      </c>
      <c r="F22" s="24" t="s">
        <v>12</v>
      </c>
      <c r="G22" s="3"/>
      <c r="H22" s="3"/>
      <c r="I22" s="3"/>
    </row>
    <row r="23" spans="3:9" x14ac:dyDescent="0.3">
      <c r="C23" s="20">
        <v>14</v>
      </c>
      <c r="D23" s="19" t="s">
        <v>1616</v>
      </c>
      <c r="F23" s="24" t="s">
        <v>12</v>
      </c>
      <c r="G23" s="3"/>
      <c r="H23" s="3"/>
      <c r="I23" s="3"/>
    </row>
    <row r="24" spans="3:9" x14ac:dyDescent="0.3">
      <c r="C24" s="20">
        <v>15</v>
      </c>
      <c r="D24" s="19" t="s">
        <v>1534</v>
      </c>
      <c r="F24" s="24" t="s">
        <v>12</v>
      </c>
      <c r="G24" s="3"/>
      <c r="H24" s="3"/>
      <c r="I24" s="3"/>
    </row>
    <row r="25" spans="3:9" x14ac:dyDescent="0.3">
      <c r="C25" s="20">
        <v>16</v>
      </c>
      <c r="D25" s="19" t="s">
        <v>1535</v>
      </c>
      <c r="F25" s="24" t="s">
        <v>12</v>
      </c>
      <c r="G25" s="3"/>
      <c r="H25" s="3"/>
      <c r="I25" s="3"/>
    </row>
    <row r="26" spans="3:9" x14ac:dyDescent="0.3">
      <c r="C26" s="20">
        <v>17</v>
      </c>
      <c r="D26" s="19" t="s">
        <v>1536</v>
      </c>
      <c r="F26" s="24" t="s">
        <v>12</v>
      </c>
      <c r="G26" s="3"/>
      <c r="H26" s="3"/>
      <c r="I26" s="3"/>
    </row>
    <row r="27" spans="3:9" x14ac:dyDescent="0.3">
      <c r="C27" s="20">
        <v>18</v>
      </c>
      <c r="D27" s="19" t="s">
        <v>1651</v>
      </c>
      <c r="F27" s="24" t="s">
        <v>12</v>
      </c>
      <c r="G27" s="3"/>
      <c r="H27" s="3"/>
      <c r="I27" s="3"/>
    </row>
    <row r="28" spans="3:9" x14ac:dyDescent="0.3">
      <c r="C28" s="20">
        <v>19</v>
      </c>
      <c r="D28" s="19" t="s">
        <v>1652</v>
      </c>
      <c r="F28" s="24" t="s">
        <v>12</v>
      </c>
      <c r="G28" s="3"/>
      <c r="H28" s="3"/>
      <c r="I28" s="3"/>
    </row>
    <row r="29" spans="3:9" x14ac:dyDescent="0.3">
      <c r="C29" s="20">
        <v>20</v>
      </c>
      <c r="D29" s="19" t="s">
        <v>1653</v>
      </c>
      <c r="F29" s="24" t="s">
        <v>12</v>
      </c>
      <c r="G29" s="3"/>
      <c r="H29" s="3"/>
      <c r="I29" s="3"/>
    </row>
    <row r="30" spans="3:9" x14ac:dyDescent="0.3">
      <c r="C30" s="20">
        <v>21</v>
      </c>
      <c r="D30" s="19" t="s">
        <v>1654</v>
      </c>
      <c r="F30" s="24" t="s">
        <v>12</v>
      </c>
      <c r="G30" s="3"/>
      <c r="H30" s="3"/>
      <c r="I30" s="3"/>
    </row>
    <row r="31" spans="3:9" x14ac:dyDescent="0.3">
      <c r="C31" s="20">
        <v>22</v>
      </c>
      <c r="D31" s="19" t="s">
        <v>1617</v>
      </c>
      <c r="F31" s="24" t="s">
        <v>12</v>
      </c>
      <c r="G31" s="3"/>
      <c r="H31" s="3"/>
      <c r="I31" s="3"/>
    </row>
    <row r="32" spans="3:9" x14ac:dyDescent="0.3">
      <c r="C32" s="20">
        <v>23</v>
      </c>
      <c r="D32" s="19" t="s">
        <v>1618</v>
      </c>
      <c r="F32" s="24" t="s">
        <v>12</v>
      </c>
      <c r="G32" s="3"/>
      <c r="H32" s="3"/>
      <c r="I32" s="3"/>
    </row>
    <row r="33" spans="3:9" x14ac:dyDescent="0.3">
      <c r="C33" s="20">
        <v>24</v>
      </c>
      <c r="D33" s="19" t="s">
        <v>1655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19" t="s">
        <v>1656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19" t="s">
        <v>1657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19" t="s">
        <v>1658</v>
      </c>
      <c r="F36" s="24" t="s">
        <v>12</v>
      </c>
      <c r="G36" s="3"/>
      <c r="H36" s="3"/>
      <c r="I36" s="3"/>
    </row>
    <row r="37" spans="3:9" ht="15.7" customHeight="1" x14ac:dyDescent="0.3">
      <c r="C37" s="20">
        <v>28</v>
      </c>
      <c r="D37" s="19" t="s">
        <v>1659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19" t="s">
        <v>1660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19" t="s">
        <v>1661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19" t="s">
        <v>1662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19" t="s">
        <v>1663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19" t="s">
        <v>1664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19" t="s">
        <v>1619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19" t="s">
        <v>1620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19" t="s">
        <v>1665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19" t="s">
        <v>1621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19" t="s">
        <v>1622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19" t="s">
        <v>1623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19" t="s">
        <v>1624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19" t="s">
        <v>1666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19" t="s">
        <v>1625</v>
      </c>
      <c r="F51" s="24" t="s">
        <v>12</v>
      </c>
      <c r="G51" s="3"/>
      <c r="H51" s="3"/>
      <c r="I51" s="3"/>
    </row>
    <row r="52" spans="3:9" ht="15.7" customHeight="1" x14ac:dyDescent="0.3">
      <c r="C52" s="20">
        <v>43</v>
      </c>
      <c r="D52" s="19" t="s">
        <v>1667</v>
      </c>
      <c r="F52" s="24" t="s">
        <v>12</v>
      </c>
      <c r="G52" s="3"/>
      <c r="H52" s="3"/>
      <c r="I52" s="3"/>
    </row>
    <row r="53" spans="3:9" ht="15.7" customHeight="1" x14ac:dyDescent="0.3">
      <c r="C53" s="20">
        <v>44</v>
      </c>
      <c r="D53" s="19" t="s">
        <v>1626</v>
      </c>
      <c r="F53" s="24" t="s">
        <v>12</v>
      </c>
      <c r="G53" s="3"/>
      <c r="H53" s="3"/>
      <c r="I53" s="3"/>
    </row>
    <row r="54" spans="3:9" ht="15.7" customHeight="1" x14ac:dyDescent="0.3">
      <c r="C54" s="20">
        <v>45</v>
      </c>
      <c r="D54" s="19" t="s">
        <v>1627</v>
      </c>
      <c r="F54" s="24" t="s">
        <v>12</v>
      </c>
      <c r="G54" s="3"/>
      <c r="H54" s="3"/>
      <c r="I54" s="3"/>
    </row>
    <row r="55" spans="3:9" ht="15.7" customHeight="1" x14ac:dyDescent="0.3">
      <c r="C55" s="20">
        <v>46</v>
      </c>
      <c r="D55" s="19" t="s">
        <v>1668</v>
      </c>
      <c r="F55" s="24" t="s">
        <v>12</v>
      </c>
      <c r="G55" s="3"/>
      <c r="H55" s="3"/>
      <c r="I55" s="3"/>
    </row>
    <row r="56" spans="3:9" ht="15.7" customHeight="1" x14ac:dyDescent="0.3">
      <c r="C56" s="20">
        <v>47</v>
      </c>
      <c r="D56" s="19" t="s">
        <v>1669</v>
      </c>
      <c r="F56" s="24" t="s">
        <v>12</v>
      </c>
      <c r="G56" s="3"/>
      <c r="H56" s="3"/>
      <c r="I56" s="3"/>
    </row>
    <row r="57" spans="3:9" ht="15.7" customHeight="1" x14ac:dyDescent="0.3">
      <c r="C57" s="20">
        <v>48</v>
      </c>
      <c r="D57" s="19" t="s">
        <v>1628</v>
      </c>
      <c r="F57" s="24" t="s">
        <v>12</v>
      </c>
      <c r="G57" s="3"/>
      <c r="H57" s="3"/>
      <c r="I57" s="3"/>
    </row>
    <row r="58" spans="3:9" ht="15.7" customHeight="1" x14ac:dyDescent="0.3">
      <c r="C58" s="20">
        <v>49</v>
      </c>
      <c r="D58" s="19" t="s">
        <v>1670</v>
      </c>
      <c r="F58" s="24" t="s">
        <v>12</v>
      </c>
      <c r="G58" s="3"/>
      <c r="H58" s="3"/>
      <c r="I58" s="3"/>
    </row>
    <row r="59" spans="3:9" ht="15.7" customHeight="1" x14ac:dyDescent="0.3">
      <c r="C59" s="20">
        <v>50</v>
      </c>
      <c r="D59" s="19" t="s">
        <v>1671</v>
      </c>
      <c r="F59" s="24" t="s">
        <v>12</v>
      </c>
      <c r="G59" s="3"/>
      <c r="H59" s="3"/>
      <c r="I59" s="3"/>
    </row>
    <row r="60" spans="3:9" ht="15.7" customHeight="1" x14ac:dyDescent="0.3">
      <c r="C60" s="20">
        <v>51</v>
      </c>
      <c r="D60" s="19" t="s">
        <v>1629</v>
      </c>
      <c r="F60" s="24" t="s">
        <v>12</v>
      </c>
      <c r="G60" s="3"/>
      <c r="H60" s="3"/>
      <c r="I60" s="3"/>
    </row>
    <row r="61" spans="3:9" ht="15.7" customHeight="1" x14ac:dyDescent="0.3">
      <c r="C61" s="20">
        <v>52</v>
      </c>
      <c r="D61" s="19" t="s">
        <v>1630</v>
      </c>
      <c r="F61" s="24" t="s">
        <v>12</v>
      </c>
      <c r="G61" s="3"/>
      <c r="H61" s="3"/>
      <c r="I61" s="3"/>
    </row>
    <row r="62" spans="3:9" ht="15.7" customHeight="1" x14ac:dyDescent="0.3">
      <c r="C62" s="20">
        <v>53</v>
      </c>
      <c r="D62" s="19" t="s">
        <v>1631</v>
      </c>
      <c r="F62" s="24" t="s">
        <v>12</v>
      </c>
      <c r="G62" s="3"/>
      <c r="H62" s="3"/>
      <c r="I62" s="3"/>
    </row>
    <row r="63" spans="3:9" ht="15.7" customHeight="1" x14ac:dyDescent="0.3">
      <c r="C63" s="20">
        <v>54</v>
      </c>
      <c r="D63" s="19" t="s">
        <v>1672</v>
      </c>
      <c r="F63" s="24" t="s">
        <v>12</v>
      </c>
      <c r="G63" s="3"/>
      <c r="H63" s="3"/>
      <c r="I63" s="3"/>
    </row>
    <row r="64" spans="3:9" ht="15.7" customHeight="1" x14ac:dyDescent="0.3">
      <c r="C64" s="20">
        <v>55</v>
      </c>
      <c r="D64" s="19" t="s">
        <v>1632</v>
      </c>
      <c r="F64" s="24" t="s">
        <v>12</v>
      </c>
      <c r="G64" s="3"/>
      <c r="H64" s="3"/>
      <c r="I64" s="3"/>
    </row>
    <row r="65" spans="3:9" ht="15.7" customHeight="1" x14ac:dyDescent="0.3">
      <c r="C65" s="20">
        <v>56</v>
      </c>
      <c r="D65" s="19" t="s">
        <v>1633</v>
      </c>
      <c r="F65" s="24" t="s">
        <v>12</v>
      </c>
      <c r="G65" s="3"/>
      <c r="H65" s="3"/>
      <c r="I65" s="3"/>
    </row>
    <row r="66" spans="3:9" ht="15.7" customHeight="1" x14ac:dyDescent="0.3">
      <c r="C66" s="20">
        <v>57</v>
      </c>
      <c r="D66" s="19" t="s">
        <v>1634</v>
      </c>
      <c r="F66" s="24" t="s">
        <v>12</v>
      </c>
      <c r="G66" s="3"/>
      <c r="H66" s="3"/>
      <c r="I66" s="3"/>
    </row>
    <row r="67" spans="3:9" ht="15.7" customHeight="1" x14ac:dyDescent="0.3">
      <c r="C67" s="20">
        <v>58</v>
      </c>
      <c r="D67" s="19" t="s">
        <v>1673</v>
      </c>
      <c r="F67" s="24" t="s">
        <v>12</v>
      </c>
      <c r="G67" s="3"/>
      <c r="H67" s="3"/>
      <c r="I67" s="3"/>
    </row>
    <row r="68" spans="3:9" ht="15.7" customHeight="1" x14ac:dyDescent="0.3">
      <c r="C68" s="20">
        <v>59</v>
      </c>
      <c r="D68" s="19" t="s">
        <v>1674</v>
      </c>
      <c r="F68" s="24" t="s">
        <v>12</v>
      </c>
      <c r="G68" s="3"/>
      <c r="H68" s="3"/>
      <c r="I68" s="3"/>
    </row>
    <row r="69" spans="3:9" ht="15.7" customHeight="1" x14ac:dyDescent="0.3">
      <c r="C69" s="20">
        <v>60</v>
      </c>
      <c r="D69" s="19" t="s">
        <v>1675</v>
      </c>
      <c r="F69" s="24" t="s">
        <v>12</v>
      </c>
      <c r="G69" s="3"/>
      <c r="H69" s="3"/>
      <c r="I69" s="3"/>
    </row>
    <row r="70" spans="3:9" ht="15.7" customHeight="1" x14ac:dyDescent="0.3">
      <c r="C70" s="20">
        <v>61</v>
      </c>
      <c r="D70" s="19" t="s">
        <v>1635</v>
      </c>
      <c r="F70" s="24" t="s">
        <v>12</v>
      </c>
      <c r="G70" s="3"/>
      <c r="H70" s="3"/>
      <c r="I70" s="3"/>
    </row>
    <row r="71" spans="3:9" ht="15.7" customHeight="1" x14ac:dyDescent="0.3">
      <c r="C71" s="20">
        <v>62</v>
      </c>
      <c r="D71" s="19" t="s">
        <v>1676</v>
      </c>
      <c r="F71" s="24" t="s">
        <v>12</v>
      </c>
      <c r="G71" s="3"/>
      <c r="H71" s="3"/>
      <c r="I71" s="3"/>
    </row>
    <row r="72" spans="3:9" ht="15.7" customHeight="1" x14ac:dyDescent="0.3">
      <c r="C72" s="20">
        <v>63</v>
      </c>
      <c r="D72" s="19" t="s">
        <v>1636</v>
      </c>
      <c r="F72" s="24" t="s">
        <v>12</v>
      </c>
      <c r="G72" s="3"/>
      <c r="H72" s="3"/>
      <c r="I72" s="3"/>
    </row>
    <row r="73" spans="3:9" ht="15.7" customHeight="1" x14ac:dyDescent="0.3">
      <c r="C73" s="20">
        <v>64</v>
      </c>
      <c r="D73" s="19" t="s">
        <v>1637</v>
      </c>
      <c r="F73" s="24" t="s">
        <v>12</v>
      </c>
      <c r="G73" s="3"/>
      <c r="H73" s="3"/>
      <c r="I73" s="3"/>
    </row>
    <row r="74" spans="3:9" ht="15.7" customHeight="1" x14ac:dyDescent="0.3">
      <c r="C74" s="20">
        <v>65</v>
      </c>
      <c r="D74" s="19" t="s">
        <v>1638</v>
      </c>
      <c r="F74" s="24" t="s">
        <v>12</v>
      </c>
      <c r="G74" s="3"/>
      <c r="H74" s="3"/>
      <c r="I74" s="3"/>
    </row>
    <row r="75" spans="3:9" ht="15.7" customHeight="1" x14ac:dyDescent="0.3">
      <c r="C75" s="20">
        <v>66</v>
      </c>
      <c r="D75" s="19" t="s">
        <v>1639</v>
      </c>
      <c r="F75" s="24" t="s">
        <v>12</v>
      </c>
      <c r="G75" s="3"/>
      <c r="H75" s="3"/>
      <c r="I75" s="3"/>
    </row>
    <row r="76" spans="3:9" ht="15.7" customHeight="1" x14ac:dyDescent="0.3">
      <c r="C76" s="20">
        <v>67</v>
      </c>
      <c r="D76" s="19" t="s">
        <v>1640</v>
      </c>
      <c r="F76" s="24" t="s">
        <v>12</v>
      </c>
      <c r="G76" s="3"/>
      <c r="H76" s="3"/>
      <c r="I76" s="3"/>
    </row>
    <row r="77" spans="3:9" ht="15.7" customHeight="1" x14ac:dyDescent="0.3">
      <c r="C77" s="20">
        <v>68</v>
      </c>
      <c r="D77" s="19" t="s">
        <v>1641</v>
      </c>
      <c r="F77" s="24" t="s">
        <v>12</v>
      </c>
      <c r="G77" s="3"/>
      <c r="H77" s="3"/>
      <c r="I77" s="3"/>
    </row>
    <row r="78" spans="3:9" ht="15.7" customHeight="1" x14ac:dyDescent="0.3">
      <c r="C78" s="20">
        <v>69</v>
      </c>
      <c r="D78" s="19" t="s">
        <v>1677</v>
      </c>
      <c r="F78" s="24" t="s">
        <v>12</v>
      </c>
      <c r="G78" s="3"/>
      <c r="H78" s="3"/>
      <c r="I78" s="3"/>
    </row>
    <row r="79" spans="3:9" ht="15.7" customHeight="1" x14ac:dyDescent="0.3">
      <c r="C79" s="20">
        <v>70</v>
      </c>
      <c r="D79" s="19" t="s">
        <v>1678</v>
      </c>
      <c r="F79" s="24" t="s">
        <v>12</v>
      </c>
      <c r="G79" s="3"/>
      <c r="H79" s="3"/>
      <c r="I79" s="3"/>
    </row>
    <row r="80" spans="3:9" ht="15.7" customHeight="1" x14ac:dyDescent="0.3">
      <c r="C80" s="20">
        <v>71</v>
      </c>
      <c r="D80" s="19" t="s">
        <v>1679</v>
      </c>
      <c r="F80" s="24" t="s">
        <v>12</v>
      </c>
      <c r="G80" s="3"/>
      <c r="H80" s="3"/>
      <c r="I80" s="3"/>
    </row>
    <row r="81" spans="3:9" ht="15.7" customHeight="1" x14ac:dyDescent="0.3">
      <c r="C81" s="20">
        <v>72</v>
      </c>
      <c r="D81" s="19" t="s">
        <v>1642</v>
      </c>
      <c r="F81" s="24" t="s">
        <v>12</v>
      </c>
      <c r="G81" s="3"/>
      <c r="H81" s="3"/>
      <c r="I81" s="3"/>
    </row>
    <row r="82" spans="3:9" ht="15.7" customHeight="1" x14ac:dyDescent="0.3">
      <c r="C82" s="20">
        <v>73</v>
      </c>
      <c r="D82" s="19" t="s">
        <v>1643</v>
      </c>
      <c r="F82" s="24" t="s">
        <v>12</v>
      </c>
      <c r="G82" s="3"/>
      <c r="H82" s="3"/>
      <c r="I82" s="3"/>
    </row>
    <row r="83" spans="3:9" ht="15.7" customHeight="1" x14ac:dyDescent="0.3">
      <c r="C83" s="20">
        <v>74</v>
      </c>
      <c r="D83" s="19" t="s">
        <v>1644</v>
      </c>
      <c r="F83" s="24" t="s">
        <v>12</v>
      </c>
      <c r="G83" s="3"/>
      <c r="H83" s="3"/>
      <c r="I83" s="3"/>
    </row>
    <row r="84" spans="3:9" ht="15.7" customHeight="1" x14ac:dyDescent="0.3">
      <c r="C84" s="20">
        <v>75</v>
      </c>
      <c r="D84" s="19" t="s">
        <v>1645</v>
      </c>
      <c r="F84" s="24" t="s">
        <v>12</v>
      </c>
      <c r="G84" s="3"/>
      <c r="H84" s="3"/>
      <c r="I84" s="3"/>
    </row>
    <row r="85" spans="3:9" ht="15.7" customHeight="1" x14ac:dyDescent="0.3">
      <c r="C85" s="20">
        <v>76</v>
      </c>
      <c r="D85" s="19" t="s">
        <v>1646</v>
      </c>
      <c r="F85" s="24" t="s">
        <v>12</v>
      </c>
      <c r="G85" s="3"/>
      <c r="H85" s="3"/>
      <c r="I85" s="3"/>
    </row>
    <row r="86" spans="3:9" ht="15.7" customHeight="1" x14ac:dyDescent="0.3">
      <c r="C86" s="20">
        <v>77</v>
      </c>
      <c r="D86" s="19" t="s">
        <v>1647</v>
      </c>
      <c r="F86" s="24" t="s">
        <v>12</v>
      </c>
      <c r="G86" s="3"/>
      <c r="H86" s="3"/>
      <c r="I86" s="3"/>
    </row>
    <row r="87" spans="3:9" ht="15.7" customHeight="1" x14ac:dyDescent="0.3">
      <c r="C87" s="20">
        <v>78</v>
      </c>
      <c r="D87" s="19" t="s">
        <v>1648</v>
      </c>
      <c r="F87" s="24" t="s">
        <v>12</v>
      </c>
      <c r="G87" s="3"/>
      <c r="H87" s="3"/>
      <c r="I87" s="3"/>
    </row>
    <row r="88" spans="3:9" ht="15.7" customHeight="1" x14ac:dyDescent="0.3"/>
    <row r="89" spans="3:9" ht="15.7" customHeight="1" x14ac:dyDescent="0.3">
      <c r="C89" s="88" t="s">
        <v>14</v>
      </c>
      <c r="D89" s="70"/>
      <c r="F89" s="6" t="s">
        <v>1</v>
      </c>
      <c r="G89" s="6" t="s">
        <v>3</v>
      </c>
      <c r="H89" s="6" t="s">
        <v>5</v>
      </c>
      <c r="I89" s="6" t="s">
        <v>10</v>
      </c>
    </row>
    <row r="90" spans="3:9" ht="15.7" customHeight="1" x14ac:dyDescent="0.3">
      <c r="C90" s="33">
        <v>1</v>
      </c>
      <c r="D90" s="19" t="s">
        <v>1721</v>
      </c>
      <c r="F90" s="24" t="s">
        <v>12</v>
      </c>
      <c r="G90" s="3"/>
      <c r="H90" s="3"/>
      <c r="I90" s="3"/>
    </row>
    <row r="91" spans="3:9" ht="15.7" customHeight="1" x14ac:dyDescent="0.3">
      <c r="C91" s="20">
        <v>2</v>
      </c>
      <c r="D91" s="19" t="s">
        <v>1680</v>
      </c>
      <c r="F91" s="24" t="s">
        <v>12</v>
      </c>
      <c r="G91" s="3"/>
      <c r="H91" s="3"/>
      <c r="I91" s="3"/>
    </row>
    <row r="92" spans="3:9" ht="15.7" customHeight="1" x14ac:dyDescent="0.3">
      <c r="C92" s="20">
        <v>3</v>
      </c>
      <c r="D92" s="19" t="s">
        <v>1681</v>
      </c>
      <c r="F92" s="24" t="s">
        <v>12</v>
      </c>
      <c r="G92" s="3"/>
      <c r="H92" s="3"/>
      <c r="I92" s="3"/>
    </row>
    <row r="93" spans="3:9" ht="15.7" customHeight="1" x14ac:dyDescent="0.3">
      <c r="C93" s="33">
        <v>4</v>
      </c>
      <c r="D93" s="19" t="s">
        <v>687</v>
      </c>
      <c r="F93" s="24" t="s">
        <v>12</v>
      </c>
      <c r="G93" s="3"/>
      <c r="H93" s="3"/>
      <c r="I93" s="3"/>
    </row>
    <row r="94" spans="3:9" ht="15.7" customHeight="1" x14ac:dyDescent="0.3">
      <c r="C94" s="20">
        <v>5</v>
      </c>
      <c r="D94" s="19" t="s">
        <v>1682</v>
      </c>
      <c r="F94" s="24" t="s">
        <v>12</v>
      </c>
      <c r="G94" s="3"/>
      <c r="H94" s="3"/>
      <c r="I94" s="3"/>
    </row>
    <row r="95" spans="3:9" ht="15.7" customHeight="1" x14ac:dyDescent="0.3">
      <c r="C95" s="20">
        <v>6</v>
      </c>
      <c r="D95" s="19" t="s">
        <v>1683</v>
      </c>
      <c r="F95" s="24" t="s">
        <v>12</v>
      </c>
      <c r="G95" s="3"/>
      <c r="H95" s="3"/>
      <c r="I95" s="3"/>
    </row>
    <row r="96" spans="3:9" ht="15.7" customHeight="1" x14ac:dyDescent="0.3">
      <c r="C96" s="33">
        <v>7</v>
      </c>
      <c r="D96" s="19" t="s">
        <v>1684</v>
      </c>
      <c r="F96" s="24" t="s">
        <v>12</v>
      </c>
      <c r="G96" s="3"/>
      <c r="H96" s="3"/>
      <c r="I96" s="3"/>
    </row>
    <row r="97" spans="3:9" ht="15.7" customHeight="1" x14ac:dyDescent="0.3">
      <c r="C97" s="20">
        <v>8</v>
      </c>
      <c r="D97" s="19" t="s">
        <v>1685</v>
      </c>
      <c r="F97" s="24" t="s">
        <v>12</v>
      </c>
      <c r="G97" s="3"/>
      <c r="H97" s="3"/>
      <c r="I97" s="3"/>
    </row>
    <row r="98" spans="3:9" ht="15.7" customHeight="1" x14ac:dyDescent="0.3">
      <c r="C98" s="20">
        <v>9</v>
      </c>
      <c r="D98" s="19" t="s">
        <v>1686</v>
      </c>
      <c r="F98" s="24" t="s">
        <v>12</v>
      </c>
      <c r="G98" s="3"/>
      <c r="H98" s="3"/>
      <c r="I98" s="3"/>
    </row>
    <row r="99" spans="3:9" ht="15.7" customHeight="1" x14ac:dyDescent="0.3">
      <c r="C99" s="33">
        <v>10</v>
      </c>
      <c r="D99" s="19" t="s">
        <v>1687</v>
      </c>
      <c r="F99" s="24" t="s">
        <v>12</v>
      </c>
      <c r="G99" s="3"/>
      <c r="H99" s="3"/>
      <c r="I99" s="3"/>
    </row>
    <row r="100" spans="3:9" ht="15.7" customHeight="1" x14ac:dyDescent="0.3">
      <c r="C100" s="20">
        <v>11</v>
      </c>
      <c r="D100" s="19" t="s">
        <v>1688</v>
      </c>
      <c r="F100" s="24" t="s">
        <v>12</v>
      </c>
      <c r="G100" s="3"/>
      <c r="H100" s="3"/>
      <c r="I100" s="3"/>
    </row>
    <row r="101" spans="3:9" ht="15.7" customHeight="1" x14ac:dyDescent="0.3">
      <c r="C101" s="20">
        <v>12</v>
      </c>
      <c r="D101" s="19" t="s">
        <v>1689</v>
      </c>
      <c r="F101" s="24" t="s">
        <v>12</v>
      </c>
      <c r="G101" s="3"/>
      <c r="H101" s="3"/>
      <c r="I101" s="3"/>
    </row>
    <row r="102" spans="3:9" ht="15.7" customHeight="1" x14ac:dyDescent="0.3">
      <c r="C102" s="33">
        <v>13</v>
      </c>
      <c r="D102" s="19" t="s">
        <v>1690</v>
      </c>
      <c r="F102" s="24" t="s">
        <v>12</v>
      </c>
      <c r="G102" s="3"/>
      <c r="H102" s="3"/>
      <c r="I102" s="3"/>
    </row>
    <row r="103" spans="3:9" ht="15.7" customHeight="1" x14ac:dyDescent="0.3">
      <c r="C103" s="20">
        <v>14</v>
      </c>
      <c r="D103" s="19" t="s">
        <v>1691</v>
      </c>
      <c r="F103" s="24" t="s">
        <v>12</v>
      </c>
      <c r="G103" s="3"/>
      <c r="H103" s="3"/>
      <c r="I103" s="3"/>
    </row>
    <row r="104" spans="3:9" ht="15.7" customHeight="1" x14ac:dyDescent="0.3">
      <c r="C104" s="20">
        <v>15</v>
      </c>
      <c r="D104" s="19" t="s">
        <v>1692</v>
      </c>
      <c r="F104" s="24" t="s">
        <v>12</v>
      </c>
      <c r="G104" s="3"/>
      <c r="H104" s="3"/>
      <c r="I104" s="3"/>
    </row>
    <row r="105" spans="3:9" ht="15.7" customHeight="1" x14ac:dyDescent="0.3">
      <c r="C105" s="33">
        <v>16</v>
      </c>
      <c r="D105" s="19" t="s">
        <v>1722</v>
      </c>
      <c r="F105" s="24" t="s">
        <v>12</v>
      </c>
      <c r="G105" s="3"/>
      <c r="H105" s="3"/>
      <c r="I105" s="3"/>
    </row>
    <row r="106" spans="3:9" ht="15.7" customHeight="1" x14ac:dyDescent="0.3">
      <c r="C106" s="20">
        <v>17</v>
      </c>
      <c r="D106" s="19" t="s">
        <v>1723</v>
      </c>
      <c r="F106" s="24" t="s">
        <v>12</v>
      </c>
      <c r="G106" s="3"/>
      <c r="H106" s="3"/>
      <c r="I106" s="3"/>
    </row>
    <row r="107" spans="3:9" ht="15.7" customHeight="1" x14ac:dyDescent="0.3">
      <c r="C107" s="20">
        <v>18</v>
      </c>
      <c r="D107" s="19" t="s">
        <v>1724</v>
      </c>
      <c r="F107" s="24" t="s">
        <v>12</v>
      </c>
      <c r="G107" s="3"/>
      <c r="H107" s="3"/>
      <c r="I107" s="3"/>
    </row>
    <row r="108" spans="3:9" ht="15.7" customHeight="1" x14ac:dyDescent="0.3">
      <c r="C108" s="33">
        <v>19</v>
      </c>
      <c r="D108" s="19" t="s">
        <v>1725</v>
      </c>
      <c r="F108" s="24" t="s">
        <v>12</v>
      </c>
      <c r="G108" s="3"/>
      <c r="H108" s="3"/>
      <c r="I108" s="3"/>
    </row>
    <row r="109" spans="3:9" ht="15.7" customHeight="1" x14ac:dyDescent="0.3">
      <c r="C109" s="20">
        <v>20</v>
      </c>
      <c r="D109" s="19" t="s">
        <v>1693</v>
      </c>
      <c r="F109" s="24" t="s">
        <v>12</v>
      </c>
      <c r="G109" s="3"/>
      <c r="H109" s="3"/>
      <c r="I109" s="3"/>
    </row>
    <row r="110" spans="3:9" ht="15.7" customHeight="1" x14ac:dyDescent="0.3">
      <c r="C110" s="20">
        <v>21</v>
      </c>
      <c r="D110" s="19" t="s">
        <v>1694</v>
      </c>
      <c r="F110" s="24" t="s">
        <v>12</v>
      </c>
      <c r="G110" s="3"/>
      <c r="H110" s="3"/>
      <c r="I110" s="3"/>
    </row>
    <row r="111" spans="3:9" ht="15.7" customHeight="1" x14ac:dyDescent="0.3">
      <c r="C111" s="33">
        <v>22</v>
      </c>
      <c r="D111" s="19" t="s">
        <v>1726</v>
      </c>
      <c r="F111" s="24" t="s">
        <v>12</v>
      </c>
      <c r="G111" s="3"/>
      <c r="H111" s="3"/>
      <c r="I111" s="3"/>
    </row>
    <row r="112" spans="3:9" ht="15.7" customHeight="1" x14ac:dyDescent="0.3">
      <c r="C112" s="20">
        <v>23</v>
      </c>
      <c r="D112" s="19" t="s">
        <v>1727</v>
      </c>
      <c r="F112" s="24" t="s">
        <v>12</v>
      </c>
      <c r="G112" s="3"/>
      <c r="H112" s="3"/>
      <c r="I112" s="3"/>
    </row>
    <row r="113" spans="3:9" ht="15.7" customHeight="1" x14ac:dyDescent="0.3">
      <c r="C113" s="20">
        <v>24</v>
      </c>
      <c r="D113" s="19" t="s">
        <v>1695</v>
      </c>
      <c r="F113" s="24" t="s">
        <v>12</v>
      </c>
      <c r="G113" s="3"/>
      <c r="H113" s="3"/>
      <c r="I113" s="3"/>
    </row>
    <row r="114" spans="3:9" ht="15.7" customHeight="1" x14ac:dyDescent="0.3">
      <c r="C114" s="33">
        <v>25</v>
      </c>
      <c r="D114" s="19" t="s">
        <v>1696</v>
      </c>
      <c r="F114" s="24" t="s">
        <v>12</v>
      </c>
      <c r="G114" s="3"/>
      <c r="H114" s="3"/>
      <c r="I114" s="3"/>
    </row>
    <row r="115" spans="3:9" ht="15.7" customHeight="1" x14ac:dyDescent="0.3">
      <c r="C115" s="20">
        <v>26</v>
      </c>
      <c r="D115" s="19" t="s">
        <v>1697</v>
      </c>
      <c r="F115" s="24" t="s">
        <v>12</v>
      </c>
      <c r="G115" s="3"/>
      <c r="H115" s="3"/>
      <c r="I115" s="3"/>
    </row>
    <row r="116" spans="3:9" ht="15.7" customHeight="1" x14ac:dyDescent="0.3">
      <c r="C116" s="20">
        <v>27</v>
      </c>
      <c r="D116" s="19" t="s">
        <v>1595</v>
      </c>
      <c r="F116" s="24" t="s">
        <v>12</v>
      </c>
      <c r="G116" s="3"/>
      <c r="H116" s="3"/>
      <c r="I116" s="3"/>
    </row>
    <row r="117" spans="3:9" ht="15.7" customHeight="1" x14ac:dyDescent="0.3">
      <c r="C117" s="33">
        <v>28</v>
      </c>
      <c r="D117" s="19" t="s">
        <v>1698</v>
      </c>
      <c r="F117" s="24" t="s">
        <v>12</v>
      </c>
      <c r="G117" s="3"/>
      <c r="H117" s="3"/>
      <c r="I117" s="3"/>
    </row>
    <row r="118" spans="3:9" ht="15.7" customHeight="1" x14ac:dyDescent="0.3">
      <c r="C118" s="20">
        <v>29</v>
      </c>
      <c r="D118" s="19" t="s">
        <v>1699</v>
      </c>
      <c r="F118" s="24" t="s">
        <v>12</v>
      </c>
      <c r="G118" s="3"/>
      <c r="H118" s="3"/>
      <c r="I118" s="3"/>
    </row>
    <row r="119" spans="3:9" ht="15.7" customHeight="1" x14ac:dyDescent="0.3">
      <c r="C119" s="20">
        <v>30</v>
      </c>
      <c r="D119" s="19" t="s">
        <v>1700</v>
      </c>
      <c r="F119" s="24" t="s">
        <v>12</v>
      </c>
      <c r="G119" s="3"/>
      <c r="H119" s="3"/>
      <c r="I119" s="3"/>
    </row>
    <row r="120" spans="3:9" ht="15.7" customHeight="1" x14ac:dyDescent="0.3">
      <c r="C120" s="33">
        <v>31</v>
      </c>
      <c r="D120" s="19" t="s">
        <v>1701</v>
      </c>
      <c r="F120" s="24" t="s">
        <v>12</v>
      </c>
      <c r="G120" s="3"/>
      <c r="H120" s="3"/>
      <c r="I120" s="3"/>
    </row>
    <row r="121" spans="3:9" ht="15.7" customHeight="1" x14ac:dyDescent="0.3">
      <c r="C121" s="20">
        <v>32</v>
      </c>
      <c r="D121" s="19" t="s">
        <v>1702</v>
      </c>
      <c r="F121" s="24" t="s">
        <v>12</v>
      </c>
      <c r="G121" s="3"/>
      <c r="H121" s="3"/>
      <c r="I121" s="3"/>
    </row>
    <row r="122" spans="3:9" ht="15.7" customHeight="1" x14ac:dyDescent="0.3">
      <c r="C122" s="20">
        <v>33</v>
      </c>
      <c r="D122" s="19" t="s">
        <v>1703</v>
      </c>
      <c r="F122" s="24" t="s">
        <v>12</v>
      </c>
      <c r="G122" s="3"/>
      <c r="H122" s="3"/>
      <c r="I122" s="3"/>
    </row>
    <row r="123" spans="3:9" ht="15.7" customHeight="1" x14ac:dyDescent="0.3">
      <c r="C123" s="33">
        <v>34</v>
      </c>
      <c r="D123" s="19" t="s">
        <v>1728</v>
      </c>
      <c r="F123" s="24" t="s">
        <v>12</v>
      </c>
      <c r="G123" s="3"/>
      <c r="H123" s="3"/>
      <c r="I123" s="3"/>
    </row>
    <row r="124" spans="3:9" s="54" customFormat="1" ht="15.7" customHeight="1" x14ac:dyDescent="0.3">
      <c r="C124" s="20">
        <v>35</v>
      </c>
      <c r="D124" s="19" t="s">
        <v>1704</v>
      </c>
      <c r="F124" s="24" t="s">
        <v>12</v>
      </c>
      <c r="G124" s="3"/>
      <c r="H124" s="3"/>
      <c r="I124" s="3"/>
    </row>
    <row r="125" spans="3:9" s="54" customFormat="1" ht="15.7" customHeight="1" x14ac:dyDescent="0.3">
      <c r="C125" s="55">
        <v>36</v>
      </c>
      <c r="D125" s="19" t="s">
        <v>1705</v>
      </c>
      <c r="F125" s="24" t="s">
        <v>12</v>
      </c>
      <c r="G125" s="3"/>
      <c r="H125" s="3"/>
      <c r="I125" s="3"/>
    </row>
    <row r="126" spans="3:9" s="54" customFormat="1" ht="15.7" customHeight="1" x14ac:dyDescent="0.3">
      <c r="C126" s="20">
        <v>37</v>
      </c>
      <c r="D126" s="19" t="s">
        <v>1706</v>
      </c>
      <c r="F126" s="24" t="s">
        <v>12</v>
      </c>
      <c r="G126" s="3"/>
      <c r="H126" s="3"/>
      <c r="I126" s="3"/>
    </row>
    <row r="127" spans="3:9" s="54" customFormat="1" ht="15.7" customHeight="1" x14ac:dyDescent="0.3">
      <c r="C127" s="20">
        <v>38</v>
      </c>
      <c r="D127" s="19" t="s">
        <v>1707</v>
      </c>
      <c r="F127" s="24" t="s">
        <v>12</v>
      </c>
      <c r="G127" s="3"/>
      <c r="H127" s="3"/>
      <c r="I127" s="3"/>
    </row>
    <row r="128" spans="3:9" s="54" customFormat="1" ht="15.7" customHeight="1" x14ac:dyDescent="0.3">
      <c r="C128" s="55">
        <v>39</v>
      </c>
      <c r="D128" s="19" t="s">
        <v>1708</v>
      </c>
      <c r="F128" s="24" t="s">
        <v>12</v>
      </c>
      <c r="G128" s="3"/>
      <c r="H128" s="3"/>
      <c r="I128" s="3"/>
    </row>
    <row r="129" spans="3:9" s="54" customFormat="1" ht="15.7" customHeight="1" x14ac:dyDescent="0.3">
      <c r="C129" s="20">
        <v>40</v>
      </c>
      <c r="D129" s="19" t="s">
        <v>1709</v>
      </c>
      <c r="F129" s="24" t="s">
        <v>12</v>
      </c>
      <c r="G129" s="3"/>
      <c r="H129" s="3"/>
      <c r="I129" s="3"/>
    </row>
    <row r="130" spans="3:9" s="54" customFormat="1" ht="15.7" customHeight="1" x14ac:dyDescent="0.3">
      <c r="C130" s="55">
        <v>41</v>
      </c>
      <c r="D130" s="19" t="s">
        <v>1710</v>
      </c>
      <c r="F130" s="24" t="s">
        <v>12</v>
      </c>
      <c r="G130" s="3"/>
      <c r="H130" s="3"/>
      <c r="I130" s="3"/>
    </row>
    <row r="131" spans="3:9" s="54" customFormat="1" ht="15.7" customHeight="1" x14ac:dyDescent="0.3">
      <c r="C131" s="20">
        <v>42</v>
      </c>
      <c r="D131" s="19" t="s">
        <v>1711</v>
      </c>
      <c r="F131" s="24" t="s">
        <v>12</v>
      </c>
      <c r="G131" s="3"/>
      <c r="H131" s="3"/>
      <c r="I131" s="3"/>
    </row>
    <row r="132" spans="3:9" s="54" customFormat="1" ht="15.7" customHeight="1" x14ac:dyDescent="0.3">
      <c r="C132" s="20">
        <v>43</v>
      </c>
      <c r="D132" s="19" t="s">
        <v>1605</v>
      </c>
      <c r="F132" s="24" t="s">
        <v>12</v>
      </c>
      <c r="G132" s="3"/>
      <c r="H132" s="3"/>
      <c r="I132" s="3"/>
    </row>
    <row r="133" spans="3:9" s="54" customFormat="1" ht="15.7" customHeight="1" x14ac:dyDescent="0.3">
      <c r="C133" s="55">
        <v>44</v>
      </c>
      <c r="D133" s="19" t="s">
        <v>1712</v>
      </c>
      <c r="F133" s="24" t="s">
        <v>12</v>
      </c>
      <c r="G133" s="3"/>
      <c r="H133" s="3"/>
      <c r="I133" s="3"/>
    </row>
    <row r="134" spans="3:9" s="54" customFormat="1" ht="15.7" customHeight="1" x14ac:dyDescent="0.3">
      <c r="C134" s="20">
        <v>45</v>
      </c>
      <c r="D134" s="19" t="s">
        <v>1713</v>
      </c>
      <c r="F134" s="24" t="s">
        <v>12</v>
      </c>
      <c r="G134" s="3"/>
      <c r="H134" s="3"/>
      <c r="I134" s="3"/>
    </row>
    <row r="135" spans="3:9" s="54" customFormat="1" ht="15.7" customHeight="1" x14ac:dyDescent="0.3">
      <c r="C135" s="55">
        <v>46</v>
      </c>
      <c r="D135" s="19" t="s">
        <v>1000</v>
      </c>
      <c r="F135" s="24" t="s">
        <v>12</v>
      </c>
      <c r="G135" s="3"/>
      <c r="H135" s="3"/>
      <c r="I135" s="3"/>
    </row>
    <row r="136" spans="3:9" s="54" customFormat="1" ht="15.7" customHeight="1" x14ac:dyDescent="0.3">
      <c r="C136" s="20">
        <v>47</v>
      </c>
      <c r="D136" s="19" t="s">
        <v>719</v>
      </c>
      <c r="F136" s="24" t="s">
        <v>12</v>
      </c>
      <c r="G136" s="3"/>
      <c r="H136" s="3"/>
      <c r="I136" s="3"/>
    </row>
    <row r="137" spans="3:9" s="54" customFormat="1" ht="15.7" customHeight="1" x14ac:dyDescent="0.3">
      <c r="C137" s="20">
        <v>48</v>
      </c>
      <c r="D137" s="19" t="s">
        <v>1729</v>
      </c>
      <c r="F137" s="24" t="s">
        <v>12</v>
      </c>
      <c r="G137" s="3"/>
      <c r="H137" s="3"/>
      <c r="I137" s="3"/>
    </row>
    <row r="138" spans="3:9" s="54" customFormat="1" ht="15.7" customHeight="1" x14ac:dyDescent="0.3">
      <c r="C138" s="55">
        <v>49</v>
      </c>
      <c r="D138" s="19" t="s">
        <v>393</v>
      </c>
      <c r="F138" s="24" t="s">
        <v>12</v>
      </c>
      <c r="G138" s="3"/>
      <c r="H138" s="3"/>
      <c r="I138" s="3"/>
    </row>
    <row r="139" spans="3:9" s="54" customFormat="1" ht="15.7" customHeight="1" x14ac:dyDescent="0.3">
      <c r="C139" s="20">
        <v>50</v>
      </c>
      <c r="D139" s="19" t="s">
        <v>721</v>
      </c>
      <c r="F139" s="24" t="s">
        <v>12</v>
      </c>
      <c r="G139" s="3"/>
      <c r="H139" s="3"/>
      <c r="I139" s="3"/>
    </row>
    <row r="140" spans="3:9" s="54" customFormat="1" ht="15.7" customHeight="1" x14ac:dyDescent="0.3">
      <c r="C140" s="55">
        <v>51</v>
      </c>
      <c r="D140" s="19" t="s">
        <v>1714</v>
      </c>
      <c r="F140" s="24" t="s">
        <v>12</v>
      </c>
      <c r="G140" s="3"/>
      <c r="H140" s="3"/>
      <c r="I140" s="3"/>
    </row>
    <row r="141" spans="3:9" s="54" customFormat="1" ht="15.7" customHeight="1" x14ac:dyDescent="0.3">
      <c r="C141" s="20">
        <v>52</v>
      </c>
      <c r="D141" s="19" t="s">
        <v>1602</v>
      </c>
      <c r="F141" s="24" t="s">
        <v>12</v>
      </c>
      <c r="G141" s="3"/>
      <c r="H141" s="3"/>
      <c r="I141" s="3"/>
    </row>
    <row r="142" spans="3:9" s="54" customFormat="1" ht="15.7" customHeight="1" x14ac:dyDescent="0.3">
      <c r="C142" s="20">
        <v>53</v>
      </c>
      <c r="D142" s="19" t="s">
        <v>1715</v>
      </c>
      <c r="F142" s="24" t="s">
        <v>12</v>
      </c>
      <c r="G142" s="3"/>
      <c r="H142" s="3"/>
      <c r="I142" s="3"/>
    </row>
    <row r="143" spans="3:9" s="54" customFormat="1" ht="15.7" customHeight="1" x14ac:dyDescent="0.3">
      <c r="C143" s="55">
        <v>54</v>
      </c>
      <c r="D143" s="19" t="s">
        <v>1716</v>
      </c>
      <c r="F143" s="24" t="s">
        <v>12</v>
      </c>
      <c r="G143" s="3"/>
      <c r="H143" s="3"/>
      <c r="I143" s="3"/>
    </row>
    <row r="144" spans="3:9" s="54" customFormat="1" ht="15.7" customHeight="1" x14ac:dyDescent="0.3">
      <c r="C144" s="20">
        <v>55</v>
      </c>
      <c r="D144" s="19" t="s">
        <v>1717</v>
      </c>
      <c r="F144" s="24" t="s">
        <v>12</v>
      </c>
      <c r="G144" s="3"/>
      <c r="H144" s="3"/>
      <c r="I144" s="3"/>
    </row>
    <row r="145" spans="3:9" s="54" customFormat="1" ht="15.7" customHeight="1" x14ac:dyDescent="0.3">
      <c r="C145" s="55">
        <v>56</v>
      </c>
      <c r="D145" s="19" t="s">
        <v>1210</v>
      </c>
      <c r="F145" s="24" t="s">
        <v>12</v>
      </c>
      <c r="G145" s="3"/>
      <c r="H145" s="3"/>
      <c r="I145" s="3"/>
    </row>
    <row r="146" spans="3:9" s="54" customFormat="1" ht="15.7" customHeight="1" x14ac:dyDescent="0.3">
      <c r="C146" s="20">
        <v>57</v>
      </c>
      <c r="D146" s="19" t="s">
        <v>1718</v>
      </c>
      <c r="F146" s="24" t="s">
        <v>12</v>
      </c>
      <c r="G146" s="3"/>
      <c r="H146" s="3"/>
      <c r="I146" s="3"/>
    </row>
    <row r="147" spans="3:9" s="54" customFormat="1" ht="15.7" customHeight="1" x14ac:dyDescent="0.3">
      <c r="C147" s="20">
        <v>58</v>
      </c>
      <c r="D147" s="19" t="s">
        <v>1719</v>
      </c>
      <c r="F147" s="24" t="s">
        <v>12</v>
      </c>
      <c r="G147" s="3"/>
      <c r="H147" s="3"/>
      <c r="I147" s="3"/>
    </row>
    <row r="148" spans="3:9" s="54" customFormat="1" ht="15.7" customHeight="1" x14ac:dyDescent="0.3">
      <c r="C148" s="55">
        <v>59</v>
      </c>
      <c r="D148" s="19" t="s">
        <v>1720</v>
      </c>
      <c r="F148" s="24" t="s">
        <v>12</v>
      </c>
      <c r="G148" s="3"/>
      <c r="H148" s="3"/>
      <c r="I148" s="3"/>
    </row>
    <row r="149" spans="3:9" ht="15.7" customHeight="1" x14ac:dyDescent="0.3">
      <c r="D149" s="54"/>
    </row>
    <row r="150" spans="3:9" ht="15.7" customHeight="1" x14ac:dyDescent="0.3">
      <c r="D150" s="54"/>
    </row>
    <row r="151" spans="3:9" ht="15.7" customHeight="1" x14ac:dyDescent="0.3">
      <c r="D151" s="54"/>
    </row>
    <row r="152" spans="3:9" ht="15.7" customHeight="1" x14ac:dyDescent="0.3">
      <c r="D152" s="54"/>
    </row>
    <row r="153" spans="3:9" ht="15.7" customHeight="1" x14ac:dyDescent="0.3">
      <c r="D153" s="54"/>
    </row>
    <row r="154" spans="3:9" ht="15.7" customHeight="1" x14ac:dyDescent="0.3">
      <c r="D154" s="54"/>
    </row>
    <row r="155" spans="3:9" ht="15.7" customHeight="1" x14ac:dyDescent="0.3">
      <c r="D155" s="54"/>
    </row>
    <row r="156" spans="3:9" ht="15.7" customHeight="1" x14ac:dyDescent="0.3">
      <c r="D156" s="54"/>
    </row>
    <row r="157" spans="3:9" ht="15.7" customHeight="1" x14ac:dyDescent="0.3">
      <c r="D157" s="54"/>
    </row>
    <row r="158" spans="3:9" ht="15.7" customHeight="1" x14ac:dyDescent="0.3">
      <c r="D158" s="54"/>
    </row>
    <row r="159" spans="3:9" ht="15.7" customHeight="1" x14ac:dyDescent="0.3">
      <c r="D159" s="54"/>
    </row>
    <row r="160" spans="3:9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  <row r="1028" ht="15.7" customHeight="1" x14ac:dyDescent="0.3"/>
    <row r="1029" ht="15.7" customHeight="1" x14ac:dyDescent="0.3"/>
    <row r="1030" ht="15.7" customHeight="1" x14ac:dyDescent="0.3"/>
    <row r="1031" ht="15.7" customHeight="1" x14ac:dyDescent="0.3"/>
    <row r="1032" ht="15.7" customHeight="1" x14ac:dyDescent="0.3"/>
    <row r="1033" ht="15.7" customHeight="1" x14ac:dyDescent="0.3"/>
    <row r="1034" ht="15.7" customHeight="1" x14ac:dyDescent="0.3"/>
    <row r="1035" ht="15.7" customHeight="1" x14ac:dyDescent="0.3"/>
    <row r="1036" ht="15.7" customHeight="1" x14ac:dyDescent="0.3"/>
    <row r="1037" ht="15.7" customHeight="1" x14ac:dyDescent="0.3"/>
    <row r="1038" ht="15.7" customHeight="1" x14ac:dyDescent="0.3"/>
    <row r="1039" ht="15.7" customHeight="1" x14ac:dyDescent="0.3"/>
    <row r="1040" ht="15.7" customHeight="1" x14ac:dyDescent="0.3"/>
    <row r="1041" ht="15.7" customHeight="1" x14ac:dyDescent="0.3"/>
    <row r="1042" ht="15.7" customHeight="1" x14ac:dyDescent="0.3"/>
    <row r="1043" ht="15.7" customHeight="1" x14ac:dyDescent="0.3"/>
    <row r="1044" ht="15.7" customHeight="1" x14ac:dyDescent="0.3"/>
    <row r="1045" ht="15.7" customHeight="1" x14ac:dyDescent="0.3"/>
    <row r="1046" ht="15.7" customHeight="1" x14ac:dyDescent="0.3"/>
    <row r="1047" ht="15.7" customHeight="1" x14ac:dyDescent="0.3"/>
    <row r="1048" ht="15.7" customHeight="1" x14ac:dyDescent="0.3"/>
    <row r="1049" ht="15.7" customHeight="1" x14ac:dyDescent="0.3"/>
    <row r="1050" ht="15.7" customHeight="1" x14ac:dyDescent="0.3"/>
    <row r="1051" ht="15.7" customHeight="1" x14ac:dyDescent="0.3"/>
    <row r="1052" ht="15.7" customHeight="1" x14ac:dyDescent="0.3"/>
    <row r="1053" ht="15.7" customHeight="1" x14ac:dyDescent="0.3"/>
    <row r="1054" ht="15.7" customHeight="1" x14ac:dyDescent="0.3"/>
    <row r="1055" ht="15.7" customHeight="1" x14ac:dyDescent="0.3"/>
    <row r="1056" ht="15.7" customHeight="1" x14ac:dyDescent="0.3"/>
    <row r="1057" ht="15.7" customHeight="1" x14ac:dyDescent="0.3"/>
    <row r="1058" ht="15.7" customHeight="1" x14ac:dyDescent="0.3"/>
    <row r="1059" ht="15.7" customHeight="1" x14ac:dyDescent="0.3"/>
    <row r="1060" ht="15.7" customHeight="1" x14ac:dyDescent="0.3"/>
    <row r="1061" ht="15.7" customHeight="1" x14ac:dyDescent="0.3"/>
    <row r="1062" ht="15.7" customHeight="1" x14ac:dyDescent="0.3"/>
    <row r="1063" ht="15.7" customHeight="1" x14ac:dyDescent="0.3"/>
    <row r="1064" ht="15.7" customHeight="1" x14ac:dyDescent="0.3"/>
    <row r="1065" ht="15.7" customHeight="1" x14ac:dyDescent="0.3"/>
    <row r="1066" ht="15.7" customHeight="1" x14ac:dyDescent="0.3"/>
    <row r="1067" ht="15.7" customHeight="1" x14ac:dyDescent="0.3"/>
    <row r="1068" ht="15.7" customHeight="1" x14ac:dyDescent="0.3"/>
    <row r="1069" ht="15.7" customHeight="1" x14ac:dyDescent="0.3"/>
    <row r="1070" ht="15.7" customHeight="1" x14ac:dyDescent="0.3"/>
    <row r="1071" ht="15.7" customHeight="1" x14ac:dyDescent="0.3"/>
    <row r="1072" ht="15.7" customHeight="1" x14ac:dyDescent="0.3"/>
    <row r="1073" ht="15.7" customHeight="1" x14ac:dyDescent="0.3"/>
    <row r="1074" ht="15.7" customHeight="1" x14ac:dyDescent="0.3"/>
    <row r="1075" ht="15.7" customHeight="1" x14ac:dyDescent="0.3"/>
    <row r="1076" ht="15.7" customHeight="1" x14ac:dyDescent="0.3"/>
    <row r="1077" ht="15.7" customHeight="1" x14ac:dyDescent="0.3"/>
    <row r="1078" ht="15.7" customHeight="1" x14ac:dyDescent="0.3"/>
    <row r="1079" ht="15.7" customHeight="1" x14ac:dyDescent="0.3"/>
    <row r="1080" ht="15.7" customHeight="1" x14ac:dyDescent="0.3"/>
    <row r="1081" ht="15.7" customHeight="1" x14ac:dyDescent="0.3"/>
    <row r="1082" ht="15.7" customHeight="1" x14ac:dyDescent="0.3"/>
  </sheetData>
  <mergeCells count="4">
    <mergeCell ref="B2:I2"/>
    <mergeCell ref="F8:H8"/>
    <mergeCell ref="C9:D9"/>
    <mergeCell ref="C89:D89"/>
  </mergeCells>
  <pageMargins left="0.7" right="0.7" top="0.75" bottom="0.75" header="0.3" footer="0.3"/>
  <pageSetup paperSize="257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3D22-EE44-46B8-839D-7B52163EAB44}">
  <sheetPr>
    <tabColor theme="8" tint="0.59996337778862885"/>
  </sheetPr>
  <dimension ref="B1:I1027"/>
  <sheetViews>
    <sheetView topLeftCell="C1" workbookViewId="0">
      <selection activeCell="D1" sqref="D1"/>
    </sheetView>
  </sheetViews>
  <sheetFormatPr baseColWidth="10" defaultColWidth="14.3984375" defaultRowHeight="14.4" x14ac:dyDescent="0.3"/>
  <cols>
    <col min="1" max="1" width="9.09765625" style="54" customWidth="1"/>
    <col min="2" max="2" width="5" style="54" customWidth="1"/>
    <col min="3" max="3" width="8" style="54" customWidth="1"/>
    <col min="4" max="4" width="151.69921875" style="54" customWidth="1"/>
    <col min="5" max="5" width="6.3984375" style="54" customWidth="1"/>
    <col min="6" max="8" width="8" style="54" customWidth="1"/>
    <col min="9" max="9" width="54" style="54" customWidth="1"/>
    <col min="10" max="26" width="9.09765625" style="54" customWidth="1"/>
    <col min="27" max="16384" width="14.3984375" style="54"/>
  </cols>
  <sheetData>
    <row r="1" spans="2:9" x14ac:dyDescent="0.3">
      <c r="D1" s="46" t="str">
        <f>HYPERLINK("#'Paginación'!A1","Volver")</f>
        <v>Volver</v>
      </c>
    </row>
    <row r="2" spans="2:9" ht="17.850000000000001" x14ac:dyDescent="0.35">
      <c r="B2" s="68" t="s">
        <v>1798</v>
      </c>
      <c r="C2" s="69"/>
      <c r="D2" s="69"/>
      <c r="E2" s="69"/>
      <c r="F2" s="69"/>
      <c r="G2" s="69"/>
      <c r="H2" s="69"/>
      <c r="I2" s="70"/>
    </row>
    <row r="3" spans="2:9" x14ac:dyDescent="0.3">
      <c r="B3" s="5" t="s">
        <v>1</v>
      </c>
      <c r="C3" s="5" t="s">
        <v>2</v>
      </c>
    </row>
    <row r="4" spans="2:9" x14ac:dyDescent="0.3">
      <c r="B4" s="5" t="s">
        <v>3</v>
      </c>
      <c r="C4" s="5" t="s">
        <v>4</v>
      </c>
    </row>
    <row r="5" spans="2:9" x14ac:dyDescent="0.3">
      <c r="B5" s="5" t="s">
        <v>5</v>
      </c>
      <c r="C5" s="5" t="s">
        <v>6</v>
      </c>
    </row>
    <row r="6" spans="2:9" x14ac:dyDescent="0.3">
      <c r="B6" s="5" t="s">
        <v>7</v>
      </c>
      <c r="C6" s="5" t="s">
        <v>8</v>
      </c>
    </row>
    <row r="8" spans="2:9" x14ac:dyDescent="0.3">
      <c r="F8" s="71" t="s">
        <v>9</v>
      </c>
      <c r="G8" s="72"/>
      <c r="H8" s="73"/>
      <c r="I8" s="6" t="s">
        <v>10</v>
      </c>
    </row>
    <row r="9" spans="2:9" x14ac:dyDescent="0.3">
      <c r="C9" s="88" t="s">
        <v>11</v>
      </c>
      <c r="D9" s="70"/>
      <c r="F9" s="6" t="s">
        <v>1</v>
      </c>
      <c r="G9" s="6" t="s">
        <v>3</v>
      </c>
      <c r="H9" s="6" t="s">
        <v>5</v>
      </c>
      <c r="I9" s="7"/>
    </row>
    <row r="10" spans="2:9" x14ac:dyDescent="0.3">
      <c r="C10" s="20">
        <v>1</v>
      </c>
      <c r="D10" s="19" t="s">
        <v>1760</v>
      </c>
      <c r="F10" s="24" t="s">
        <v>12</v>
      </c>
      <c r="G10" s="3"/>
      <c r="H10" s="3"/>
      <c r="I10" s="3"/>
    </row>
    <row r="11" spans="2:9" x14ac:dyDescent="0.3">
      <c r="C11" s="20">
        <v>2</v>
      </c>
      <c r="D11" s="19" t="s">
        <v>1761</v>
      </c>
      <c r="F11" s="24" t="s">
        <v>12</v>
      </c>
      <c r="G11" s="3"/>
      <c r="H11" s="3"/>
      <c r="I11" s="3"/>
    </row>
    <row r="12" spans="2:9" x14ac:dyDescent="0.3">
      <c r="C12" s="20">
        <v>3</v>
      </c>
      <c r="D12" s="19" t="s">
        <v>1762</v>
      </c>
      <c r="F12" s="24" t="s">
        <v>12</v>
      </c>
      <c r="G12" s="3"/>
      <c r="H12" s="3"/>
      <c r="I12" s="3"/>
    </row>
    <row r="13" spans="2:9" x14ac:dyDescent="0.3">
      <c r="C13" s="20">
        <v>4</v>
      </c>
      <c r="D13" s="19" t="s">
        <v>1730</v>
      </c>
      <c r="F13" s="24" t="s">
        <v>12</v>
      </c>
      <c r="G13" s="3"/>
      <c r="H13" s="3"/>
      <c r="I13" s="3"/>
    </row>
    <row r="14" spans="2:9" x14ac:dyDescent="0.3">
      <c r="C14" s="20">
        <v>5</v>
      </c>
      <c r="D14" s="19" t="s">
        <v>1763</v>
      </c>
      <c r="F14" s="24" t="s">
        <v>12</v>
      </c>
      <c r="G14" s="3"/>
      <c r="H14" s="3"/>
      <c r="I14" s="3"/>
    </row>
    <row r="15" spans="2:9" x14ac:dyDescent="0.3">
      <c r="C15" s="20">
        <v>6</v>
      </c>
      <c r="D15" s="19" t="s">
        <v>1731</v>
      </c>
      <c r="F15" s="24" t="s">
        <v>12</v>
      </c>
      <c r="G15" s="3"/>
      <c r="H15" s="3"/>
      <c r="I15" s="3"/>
    </row>
    <row r="16" spans="2:9" x14ac:dyDescent="0.3">
      <c r="C16" s="20">
        <v>7</v>
      </c>
      <c r="D16" s="19" t="s">
        <v>879</v>
      </c>
      <c r="F16" s="24" t="s">
        <v>12</v>
      </c>
      <c r="G16" s="3"/>
      <c r="H16" s="3"/>
      <c r="I16" s="3"/>
    </row>
    <row r="17" spans="3:9" x14ac:dyDescent="0.3">
      <c r="C17" s="20">
        <v>8</v>
      </c>
      <c r="D17" s="19" t="s">
        <v>1345</v>
      </c>
      <c r="F17" s="24" t="s">
        <v>12</v>
      </c>
      <c r="G17" s="3"/>
      <c r="H17" s="3"/>
      <c r="I17" s="3"/>
    </row>
    <row r="18" spans="3:9" x14ac:dyDescent="0.3">
      <c r="C18" s="20">
        <v>9</v>
      </c>
      <c r="D18" s="19" t="s">
        <v>1313</v>
      </c>
      <c r="F18" s="24" t="s">
        <v>12</v>
      </c>
      <c r="G18" s="3"/>
      <c r="H18" s="3"/>
      <c r="I18" s="3"/>
    </row>
    <row r="19" spans="3:9" x14ac:dyDescent="0.3">
      <c r="C19" s="20">
        <v>10</v>
      </c>
      <c r="D19" s="19" t="s">
        <v>1346</v>
      </c>
      <c r="F19" s="24" t="s">
        <v>12</v>
      </c>
      <c r="G19" s="3"/>
      <c r="H19" s="3"/>
      <c r="I19" s="3"/>
    </row>
    <row r="20" spans="3:9" x14ac:dyDescent="0.3">
      <c r="C20" s="20">
        <v>11</v>
      </c>
      <c r="D20" s="19" t="s">
        <v>1732</v>
      </c>
      <c r="F20" s="24" t="s">
        <v>12</v>
      </c>
      <c r="G20" s="3"/>
      <c r="H20" s="3"/>
      <c r="I20" s="3"/>
    </row>
    <row r="21" spans="3:9" x14ac:dyDescent="0.3">
      <c r="C21" s="20">
        <v>12</v>
      </c>
      <c r="D21" s="19" t="s">
        <v>1733</v>
      </c>
      <c r="F21" s="24" t="s">
        <v>12</v>
      </c>
      <c r="G21" s="3"/>
      <c r="H21" s="3"/>
      <c r="I21" s="3"/>
    </row>
    <row r="22" spans="3:9" x14ac:dyDescent="0.3">
      <c r="C22" s="20">
        <v>13</v>
      </c>
      <c r="D22" s="19" t="s">
        <v>1734</v>
      </c>
      <c r="F22" s="24" t="s">
        <v>12</v>
      </c>
      <c r="G22" s="3"/>
      <c r="H22" s="3"/>
      <c r="I22" s="3"/>
    </row>
    <row r="23" spans="3:9" x14ac:dyDescent="0.3">
      <c r="C23" s="20">
        <v>14</v>
      </c>
      <c r="D23" s="19" t="s">
        <v>1735</v>
      </c>
      <c r="F23" s="24" t="s">
        <v>12</v>
      </c>
      <c r="G23" s="3"/>
      <c r="H23" s="3"/>
      <c r="I23" s="3"/>
    </row>
    <row r="24" spans="3:9" x14ac:dyDescent="0.3">
      <c r="C24" s="20">
        <v>15</v>
      </c>
      <c r="D24" s="19" t="s">
        <v>1736</v>
      </c>
      <c r="F24" s="24" t="s">
        <v>12</v>
      </c>
      <c r="G24" s="3"/>
      <c r="H24" s="3"/>
      <c r="I24" s="3"/>
    </row>
    <row r="25" spans="3:9" x14ac:dyDescent="0.3">
      <c r="C25" s="20">
        <v>16</v>
      </c>
      <c r="D25" s="19" t="s">
        <v>1764</v>
      </c>
      <c r="F25" s="24" t="s">
        <v>12</v>
      </c>
      <c r="G25" s="3"/>
      <c r="H25" s="3"/>
      <c r="I25" s="3"/>
    </row>
    <row r="26" spans="3:9" x14ac:dyDescent="0.3">
      <c r="C26" s="20">
        <v>17</v>
      </c>
      <c r="D26" s="19" t="s">
        <v>1737</v>
      </c>
      <c r="F26" s="24" t="s">
        <v>12</v>
      </c>
      <c r="G26" s="3"/>
      <c r="H26" s="3"/>
      <c r="I26" s="3"/>
    </row>
    <row r="27" spans="3:9" x14ac:dyDescent="0.3">
      <c r="C27" s="20">
        <v>18</v>
      </c>
      <c r="D27" s="19" t="s">
        <v>1738</v>
      </c>
      <c r="F27" s="24" t="s">
        <v>12</v>
      </c>
      <c r="G27" s="3"/>
      <c r="H27" s="3"/>
      <c r="I27" s="3"/>
    </row>
    <row r="28" spans="3:9" x14ac:dyDescent="0.3">
      <c r="C28" s="20">
        <v>19</v>
      </c>
      <c r="D28" s="19" t="s">
        <v>1739</v>
      </c>
      <c r="F28" s="24" t="s">
        <v>12</v>
      </c>
      <c r="G28" s="3"/>
      <c r="H28" s="3"/>
      <c r="I28" s="3"/>
    </row>
    <row r="29" spans="3:9" x14ac:dyDescent="0.3">
      <c r="C29" s="20">
        <v>20</v>
      </c>
      <c r="D29" s="19" t="s">
        <v>1765</v>
      </c>
      <c r="F29" s="24" t="s">
        <v>12</v>
      </c>
      <c r="G29" s="3"/>
      <c r="H29" s="3"/>
      <c r="I29" s="3"/>
    </row>
    <row r="30" spans="3:9" x14ac:dyDescent="0.3">
      <c r="C30" s="20">
        <v>21</v>
      </c>
      <c r="D30" s="19" t="s">
        <v>1740</v>
      </c>
      <c r="F30" s="24" t="s">
        <v>12</v>
      </c>
      <c r="G30" s="3"/>
      <c r="H30" s="3"/>
      <c r="I30" s="3"/>
    </row>
    <row r="31" spans="3:9" x14ac:dyDescent="0.3">
      <c r="C31" s="20">
        <v>22</v>
      </c>
      <c r="D31" s="19" t="s">
        <v>1741</v>
      </c>
      <c r="F31" s="24" t="s">
        <v>12</v>
      </c>
      <c r="G31" s="3"/>
      <c r="H31" s="3"/>
      <c r="I31" s="3"/>
    </row>
    <row r="32" spans="3:9" x14ac:dyDescent="0.3">
      <c r="C32" s="20">
        <v>23</v>
      </c>
      <c r="D32" s="19" t="s">
        <v>1742</v>
      </c>
      <c r="F32" s="24" t="s">
        <v>12</v>
      </c>
      <c r="G32" s="3"/>
      <c r="H32" s="3"/>
      <c r="I32" s="3"/>
    </row>
    <row r="33" spans="3:9" x14ac:dyDescent="0.3">
      <c r="C33" s="20">
        <v>24</v>
      </c>
      <c r="D33" s="19" t="s">
        <v>1743</v>
      </c>
      <c r="F33" s="24" t="s">
        <v>12</v>
      </c>
      <c r="G33" s="3"/>
      <c r="H33" s="3"/>
      <c r="I33" s="3"/>
    </row>
    <row r="34" spans="3:9" ht="15.7" customHeight="1" x14ac:dyDescent="0.3">
      <c r="C34" s="20">
        <v>25</v>
      </c>
      <c r="D34" s="19" t="s">
        <v>1744</v>
      </c>
      <c r="F34" s="24" t="s">
        <v>12</v>
      </c>
      <c r="G34" s="3"/>
      <c r="H34" s="3"/>
      <c r="I34" s="3"/>
    </row>
    <row r="35" spans="3:9" ht="15.7" customHeight="1" x14ac:dyDescent="0.3">
      <c r="C35" s="20">
        <v>26</v>
      </c>
      <c r="D35" s="19" t="s">
        <v>1745</v>
      </c>
      <c r="F35" s="24" t="s">
        <v>12</v>
      </c>
      <c r="G35" s="3"/>
      <c r="H35" s="3"/>
      <c r="I35" s="3"/>
    </row>
    <row r="36" spans="3:9" ht="15.7" customHeight="1" x14ac:dyDescent="0.3">
      <c r="C36" s="20">
        <v>27</v>
      </c>
      <c r="D36" s="19" t="s">
        <v>1746</v>
      </c>
      <c r="F36" s="24" t="s">
        <v>12</v>
      </c>
      <c r="G36" s="3"/>
      <c r="H36" s="3"/>
      <c r="I36" s="3"/>
    </row>
    <row r="37" spans="3:9" ht="15.7" customHeight="1" x14ac:dyDescent="0.3">
      <c r="C37" s="20">
        <v>28</v>
      </c>
      <c r="D37" s="19" t="s">
        <v>1747</v>
      </c>
      <c r="F37" s="24" t="s">
        <v>12</v>
      </c>
      <c r="G37" s="3"/>
      <c r="H37" s="3"/>
      <c r="I37" s="3"/>
    </row>
    <row r="38" spans="3:9" ht="15.7" customHeight="1" x14ac:dyDescent="0.3">
      <c r="C38" s="20">
        <v>29</v>
      </c>
      <c r="D38" s="19" t="s">
        <v>1748</v>
      </c>
      <c r="F38" s="24" t="s">
        <v>12</v>
      </c>
      <c r="G38" s="3"/>
      <c r="H38" s="3"/>
      <c r="I38" s="3"/>
    </row>
    <row r="39" spans="3:9" ht="15.7" customHeight="1" x14ac:dyDescent="0.3">
      <c r="C39" s="20">
        <v>30</v>
      </c>
      <c r="D39" s="19" t="s">
        <v>1749</v>
      </c>
      <c r="F39" s="24" t="s">
        <v>12</v>
      </c>
      <c r="G39" s="3"/>
      <c r="H39" s="3"/>
      <c r="I39" s="3"/>
    </row>
    <row r="40" spans="3:9" ht="15.7" customHeight="1" x14ac:dyDescent="0.3">
      <c r="C40" s="20">
        <v>31</v>
      </c>
      <c r="D40" s="19" t="s">
        <v>1750</v>
      </c>
      <c r="F40" s="24" t="s">
        <v>12</v>
      </c>
      <c r="G40" s="3"/>
      <c r="H40" s="3"/>
      <c r="I40" s="3"/>
    </row>
    <row r="41" spans="3:9" ht="15.7" customHeight="1" x14ac:dyDescent="0.3">
      <c r="C41" s="20">
        <v>32</v>
      </c>
      <c r="D41" s="19" t="s">
        <v>1751</v>
      </c>
      <c r="F41" s="24" t="s">
        <v>12</v>
      </c>
      <c r="G41" s="3"/>
      <c r="H41" s="3"/>
      <c r="I41" s="3"/>
    </row>
    <row r="42" spans="3:9" ht="15.7" customHeight="1" x14ac:dyDescent="0.3">
      <c r="C42" s="20">
        <v>33</v>
      </c>
      <c r="D42" s="19" t="s">
        <v>1752</v>
      </c>
      <c r="F42" s="24" t="s">
        <v>12</v>
      </c>
      <c r="G42" s="3"/>
      <c r="H42" s="3"/>
      <c r="I42" s="3"/>
    </row>
    <row r="43" spans="3:9" ht="15.7" customHeight="1" x14ac:dyDescent="0.3">
      <c r="C43" s="20">
        <v>34</v>
      </c>
      <c r="D43" s="19" t="s">
        <v>1753</v>
      </c>
      <c r="F43" s="24" t="s">
        <v>12</v>
      </c>
      <c r="G43" s="3"/>
      <c r="H43" s="3"/>
      <c r="I43" s="3"/>
    </row>
    <row r="44" spans="3:9" ht="15.7" customHeight="1" x14ac:dyDescent="0.3">
      <c r="C44" s="20">
        <v>35</v>
      </c>
      <c r="D44" s="19" t="s">
        <v>1075</v>
      </c>
      <c r="F44" s="24" t="s">
        <v>12</v>
      </c>
      <c r="G44" s="3"/>
      <c r="H44" s="3"/>
      <c r="I44" s="3"/>
    </row>
    <row r="45" spans="3:9" ht="15.7" customHeight="1" x14ac:dyDescent="0.3">
      <c r="C45" s="20">
        <v>36</v>
      </c>
      <c r="D45" s="19" t="s">
        <v>1754</v>
      </c>
      <c r="F45" s="24" t="s">
        <v>12</v>
      </c>
      <c r="G45" s="3"/>
      <c r="H45" s="3"/>
      <c r="I45" s="3"/>
    </row>
    <row r="46" spans="3:9" ht="15.7" customHeight="1" x14ac:dyDescent="0.3">
      <c r="C46" s="20">
        <v>37</v>
      </c>
      <c r="D46" s="19" t="s">
        <v>1755</v>
      </c>
      <c r="F46" s="24" t="s">
        <v>12</v>
      </c>
      <c r="G46" s="3"/>
      <c r="H46" s="3"/>
      <c r="I46" s="3"/>
    </row>
    <row r="47" spans="3:9" ht="15.7" customHeight="1" x14ac:dyDescent="0.3">
      <c r="C47" s="20">
        <v>38</v>
      </c>
      <c r="D47" s="19" t="s">
        <v>1756</v>
      </c>
      <c r="F47" s="24" t="s">
        <v>12</v>
      </c>
      <c r="G47" s="3"/>
      <c r="H47" s="3"/>
      <c r="I47" s="3"/>
    </row>
    <row r="48" spans="3:9" ht="15.7" customHeight="1" x14ac:dyDescent="0.3">
      <c r="C48" s="20">
        <v>39</v>
      </c>
      <c r="D48" s="19" t="s">
        <v>1757</v>
      </c>
      <c r="F48" s="24" t="s">
        <v>12</v>
      </c>
      <c r="G48" s="3"/>
      <c r="H48" s="3"/>
      <c r="I48" s="3"/>
    </row>
    <row r="49" spans="3:9" ht="15.7" customHeight="1" x14ac:dyDescent="0.3">
      <c r="C49" s="20">
        <v>40</v>
      </c>
      <c r="D49" s="19" t="s">
        <v>1334</v>
      </c>
      <c r="F49" s="24" t="s">
        <v>12</v>
      </c>
      <c r="G49" s="3"/>
      <c r="H49" s="3"/>
      <c r="I49" s="3"/>
    </row>
    <row r="50" spans="3:9" ht="15.7" customHeight="1" x14ac:dyDescent="0.3">
      <c r="C50" s="20">
        <v>41</v>
      </c>
      <c r="D50" s="19" t="s">
        <v>1758</v>
      </c>
      <c r="F50" s="24" t="s">
        <v>12</v>
      </c>
      <c r="G50" s="3"/>
      <c r="H50" s="3"/>
      <c r="I50" s="3"/>
    </row>
    <row r="51" spans="3:9" ht="15.7" customHeight="1" x14ac:dyDescent="0.3">
      <c r="C51" s="20">
        <v>42</v>
      </c>
      <c r="D51" s="19" t="s">
        <v>1759</v>
      </c>
      <c r="F51" s="24" t="s">
        <v>12</v>
      </c>
      <c r="G51" s="3"/>
      <c r="H51" s="3"/>
      <c r="I51" s="3"/>
    </row>
    <row r="52" spans="3:9" ht="15.7" customHeight="1" x14ac:dyDescent="0.3"/>
    <row r="53" spans="3:9" ht="15.7" customHeight="1" x14ac:dyDescent="0.3">
      <c r="C53" s="88" t="s">
        <v>14</v>
      </c>
      <c r="D53" s="70"/>
      <c r="F53" s="6" t="s">
        <v>1</v>
      </c>
      <c r="G53" s="6" t="s">
        <v>3</v>
      </c>
      <c r="H53" s="6" t="s">
        <v>5</v>
      </c>
      <c r="I53" s="6" t="s">
        <v>10</v>
      </c>
    </row>
    <row r="54" spans="3:9" ht="15.7" customHeight="1" x14ac:dyDescent="0.3">
      <c r="C54" s="55">
        <v>1</v>
      </c>
      <c r="D54" s="19" t="s">
        <v>1795</v>
      </c>
      <c r="F54" s="24" t="s">
        <v>12</v>
      </c>
      <c r="G54" s="3"/>
      <c r="H54" s="3"/>
      <c r="I54" s="3"/>
    </row>
    <row r="55" spans="3:9" ht="15.7" customHeight="1" x14ac:dyDescent="0.3">
      <c r="C55" s="20">
        <v>2</v>
      </c>
      <c r="D55" s="19" t="s">
        <v>1680</v>
      </c>
      <c r="F55" s="24" t="s">
        <v>12</v>
      </c>
      <c r="G55" s="3"/>
      <c r="H55" s="3"/>
      <c r="I55" s="3"/>
    </row>
    <row r="56" spans="3:9" ht="15.7" customHeight="1" x14ac:dyDescent="0.3">
      <c r="C56" s="20">
        <v>3</v>
      </c>
      <c r="D56" s="19" t="s">
        <v>964</v>
      </c>
      <c r="F56" s="24" t="s">
        <v>12</v>
      </c>
      <c r="G56" s="3"/>
      <c r="H56" s="3"/>
      <c r="I56" s="3"/>
    </row>
    <row r="57" spans="3:9" ht="15.7" customHeight="1" x14ac:dyDescent="0.3">
      <c r="C57" s="55">
        <v>4</v>
      </c>
      <c r="D57" s="19" t="s">
        <v>1766</v>
      </c>
      <c r="F57" s="24" t="s">
        <v>12</v>
      </c>
      <c r="G57" s="3"/>
      <c r="H57" s="3"/>
      <c r="I57" s="3"/>
    </row>
    <row r="58" spans="3:9" ht="15.7" customHeight="1" x14ac:dyDescent="0.3">
      <c r="C58" s="20">
        <v>5</v>
      </c>
      <c r="D58" s="19" t="s">
        <v>1767</v>
      </c>
      <c r="F58" s="24" t="s">
        <v>12</v>
      </c>
      <c r="G58" s="3"/>
      <c r="H58" s="3"/>
      <c r="I58" s="3"/>
    </row>
    <row r="59" spans="3:9" ht="15.7" customHeight="1" x14ac:dyDescent="0.3">
      <c r="C59" s="20">
        <v>6</v>
      </c>
      <c r="D59" s="19" t="s">
        <v>1768</v>
      </c>
      <c r="F59" s="24" t="s">
        <v>12</v>
      </c>
      <c r="G59" s="3"/>
      <c r="H59" s="3"/>
      <c r="I59" s="3"/>
    </row>
    <row r="60" spans="3:9" ht="15.7" customHeight="1" x14ac:dyDescent="0.3">
      <c r="C60" s="55">
        <v>7</v>
      </c>
      <c r="D60" s="19" t="s">
        <v>1769</v>
      </c>
      <c r="F60" s="24" t="s">
        <v>12</v>
      </c>
      <c r="G60" s="3"/>
      <c r="H60" s="3"/>
      <c r="I60" s="3"/>
    </row>
    <row r="61" spans="3:9" ht="15.7" customHeight="1" x14ac:dyDescent="0.3">
      <c r="C61" s="20">
        <v>8</v>
      </c>
      <c r="D61" s="19" t="s">
        <v>1770</v>
      </c>
      <c r="F61" s="24" t="s">
        <v>12</v>
      </c>
      <c r="G61" s="3"/>
      <c r="H61" s="3"/>
      <c r="I61" s="3"/>
    </row>
    <row r="62" spans="3:9" ht="15.7" customHeight="1" x14ac:dyDescent="0.3">
      <c r="C62" s="20">
        <v>9</v>
      </c>
      <c r="D62" s="19" t="s">
        <v>1771</v>
      </c>
      <c r="F62" s="24" t="s">
        <v>12</v>
      </c>
      <c r="G62" s="3"/>
      <c r="H62" s="3"/>
      <c r="I62" s="3"/>
    </row>
    <row r="63" spans="3:9" ht="15.7" customHeight="1" x14ac:dyDescent="0.3">
      <c r="C63" s="55">
        <v>10</v>
      </c>
      <c r="D63" s="19" t="s">
        <v>1772</v>
      </c>
      <c r="F63" s="24" t="s">
        <v>12</v>
      </c>
      <c r="G63" s="3"/>
      <c r="H63" s="3"/>
      <c r="I63" s="3"/>
    </row>
    <row r="64" spans="3:9" ht="15.7" customHeight="1" x14ac:dyDescent="0.3">
      <c r="C64" s="20">
        <v>11</v>
      </c>
      <c r="D64" s="19" t="s">
        <v>1773</v>
      </c>
      <c r="F64" s="24" t="s">
        <v>12</v>
      </c>
      <c r="G64" s="3"/>
      <c r="H64" s="3"/>
      <c r="I64" s="3"/>
    </row>
    <row r="65" spans="3:9" ht="15.7" customHeight="1" x14ac:dyDescent="0.3">
      <c r="C65" s="20">
        <v>12</v>
      </c>
      <c r="D65" s="19" t="s">
        <v>1774</v>
      </c>
      <c r="F65" s="24" t="s">
        <v>12</v>
      </c>
      <c r="G65" s="3"/>
      <c r="H65" s="3"/>
      <c r="I65" s="3"/>
    </row>
    <row r="66" spans="3:9" ht="15.7" customHeight="1" x14ac:dyDescent="0.3">
      <c r="C66" s="55">
        <v>13</v>
      </c>
      <c r="D66" s="19" t="s">
        <v>17</v>
      </c>
      <c r="F66" s="24" t="s">
        <v>12</v>
      </c>
      <c r="G66" s="3"/>
      <c r="H66" s="3"/>
      <c r="I66" s="3"/>
    </row>
    <row r="67" spans="3:9" ht="15.7" customHeight="1" x14ac:dyDescent="0.3">
      <c r="C67" s="20">
        <v>14</v>
      </c>
      <c r="D67" s="19" t="s">
        <v>1775</v>
      </c>
      <c r="F67" s="24" t="s">
        <v>12</v>
      </c>
      <c r="G67" s="3"/>
      <c r="H67" s="3"/>
      <c r="I67" s="3"/>
    </row>
    <row r="68" spans="3:9" ht="15.7" customHeight="1" x14ac:dyDescent="0.3">
      <c r="C68" s="20">
        <v>15</v>
      </c>
      <c r="D68" s="19" t="s">
        <v>1776</v>
      </c>
      <c r="F68" s="24" t="s">
        <v>12</v>
      </c>
      <c r="G68" s="3"/>
      <c r="H68" s="3"/>
      <c r="I68" s="3"/>
    </row>
    <row r="69" spans="3:9" ht="15.7" customHeight="1" x14ac:dyDescent="0.3">
      <c r="C69" s="55">
        <v>16</v>
      </c>
      <c r="D69" s="19" t="s">
        <v>1777</v>
      </c>
      <c r="F69" s="24" t="s">
        <v>12</v>
      </c>
      <c r="G69" s="3"/>
      <c r="H69" s="3"/>
      <c r="I69" s="3"/>
    </row>
    <row r="70" spans="3:9" ht="15.7" customHeight="1" x14ac:dyDescent="0.3">
      <c r="C70" s="20">
        <v>17</v>
      </c>
      <c r="D70" s="19" t="s">
        <v>1778</v>
      </c>
      <c r="F70" s="24" t="s">
        <v>12</v>
      </c>
      <c r="G70" s="3"/>
      <c r="H70" s="3"/>
      <c r="I70" s="3"/>
    </row>
    <row r="71" spans="3:9" ht="15.7" customHeight="1" x14ac:dyDescent="0.3">
      <c r="C71" s="20">
        <v>18</v>
      </c>
      <c r="D71" s="19" t="s">
        <v>1779</v>
      </c>
      <c r="F71" s="24" t="s">
        <v>12</v>
      </c>
      <c r="G71" s="3"/>
      <c r="H71" s="3"/>
      <c r="I71" s="3"/>
    </row>
    <row r="72" spans="3:9" ht="15.7" customHeight="1" x14ac:dyDescent="0.3">
      <c r="C72" s="55">
        <v>19</v>
      </c>
      <c r="D72" s="19" t="s">
        <v>1780</v>
      </c>
      <c r="F72" s="24" t="s">
        <v>12</v>
      </c>
      <c r="G72" s="3"/>
      <c r="H72" s="3"/>
      <c r="I72" s="3"/>
    </row>
    <row r="73" spans="3:9" ht="15.7" customHeight="1" x14ac:dyDescent="0.3">
      <c r="C73" s="20">
        <v>20</v>
      </c>
      <c r="D73" s="19" t="s">
        <v>1781</v>
      </c>
      <c r="F73" s="24" t="s">
        <v>12</v>
      </c>
      <c r="G73" s="3"/>
      <c r="H73" s="3"/>
      <c r="I73" s="3"/>
    </row>
    <row r="74" spans="3:9" ht="15.7" customHeight="1" x14ac:dyDescent="0.3">
      <c r="C74" s="20">
        <v>21</v>
      </c>
      <c r="D74" s="19" t="s">
        <v>1382</v>
      </c>
      <c r="F74" s="24" t="s">
        <v>12</v>
      </c>
      <c r="G74" s="3"/>
      <c r="H74" s="3"/>
      <c r="I74" s="3"/>
    </row>
    <row r="75" spans="3:9" ht="15.7" customHeight="1" x14ac:dyDescent="0.3">
      <c r="C75" s="55">
        <v>22</v>
      </c>
      <c r="D75" s="19" t="s">
        <v>1782</v>
      </c>
      <c r="F75" s="24" t="s">
        <v>12</v>
      </c>
      <c r="G75" s="3"/>
      <c r="H75" s="3"/>
      <c r="I75" s="3"/>
    </row>
    <row r="76" spans="3:9" ht="15.7" customHeight="1" x14ac:dyDescent="0.3">
      <c r="C76" s="20">
        <v>23</v>
      </c>
      <c r="D76" s="19" t="s">
        <v>1783</v>
      </c>
      <c r="F76" s="24" t="s">
        <v>12</v>
      </c>
      <c r="G76" s="3"/>
      <c r="H76" s="3"/>
      <c r="I76" s="3"/>
    </row>
    <row r="77" spans="3:9" ht="15.7" customHeight="1" x14ac:dyDescent="0.3">
      <c r="C77" s="20">
        <v>24</v>
      </c>
      <c r="D77" s="19" t="s">
        <v>1784</v>
      </c>
      <c r="F77" s="24" t="s">
        <v>12</v>
      </c>
      <c r="G77" s="3"/>
      <c r="H77" s="3"/>
      <c r="I77" s="3"/>
    </row>
    <row r="78" spans="3:9" ht="15.7" customHeight="1" x14ac:dyDescent="0.3">
      <c r="C78" s="55">
        <v>25</v>
      </c>
      <c r="D78" s="19" t="s">
        <v>1785</v>
      </c>
      <c r="F78" s="24" t="s">
        <v>12</v>
      </c>
      <c r="G78" s="3"/>
      <c r="H78" s="3"/>
      <c r="I78" s="3"/>
    </row>
    <row r="79" spans="3:9" ht="15.7" customHeight="1" x14ac:dyDescent="0.3">
      <c r="C79" s="20">
        <v>26</v>
      </c>
      <c r="D79" s="19" t="s">
        <v>1786</v>
      </c>
      <c r="F79" s="24" t="s">
        <v>12</v>
      </c>
      <c r="G79" s="3"/>
      <c r="H79" s="3"/>
      <c r="I79" s="3"/>
    </row>
    <row r="80" spans="3:9" ht="15.7" customHeight="1" x14ac:dyDescent="0.3">
      <c r="C80" s="20">
        <v>27</v>
      </c>
      <c r="D80" s="19" t="s">
        <v>1787</v>
      </c>
      <c r="F80" s="24" t="s">
        <v>12</v>
      </c>
      <c r="G80" s="3"/>
      <c r="H80" s="3"/>
      <c r="I80" s="3"/>
    </row>
    <row r="81" spans="3:9" ht="15.7" customHeight="1" x14ac:dyDescent="0.3">
      <c r="C81" s="55">
        <v>28</v>
      </c>
      <c r="D81" s="19" t="s">
        <v>324</v>
      </c>
      <c r="F81" s="24" t="s">
        <v>12</v>
      </c>
      <c r="G81" s="3"/>
      <c r="H81" s="3"/>
      <c r="I81" s="3"/>
    </row>
    <row r="82" spans="3:9" ht="15.7" customHeight="1" x14ac:dyDescent="0.3">
      <c r="C82" s="20">
        <v>29</v>
      </c>
      <c r="D82" s="19" t="s">
        <v>719</v>
      </c>
      <c r="F82" s="24" t="s">
        <v>12</v>
      </c>
      <c r="G82" s="3"/>
      <c r="H82" s="3"/>
      <c r="I82" s="3"/>
    </row>
    <row r="83" spans="3:9" ht="15.7" customHeight="1" x14ac:dyDescent="0.3">
      <c r="C83" s="20">
        <v>30</v>
      </c>
      <c r="D83" s="19" t="s">
        <v>1117</v>
      </c>
      <c r="F83" s="24" t="s">
        <v>12</v>
      </c>
      <c r="G83" s="3"/>
      <c r="H83" s="3"/>
      <c r="I83" s="3"/>
    </row>
    <row r="84" spans="3:9" ht="15.7" customHeight="1" x14ac:dyDescent="0.3">
      <c r="C84" s="55">
        <v>31</v>
      </c>
      <c r="D84" s="19" t="s">
        <v>393</v>
      </c>
      <c r="F84" s="24" t="s">
        <v>12</v>
      </c>
      <c r="G84" s="3"/>
      <c r="H84" s="3"/>
      <c r="I84" s="3"/>
    </row>
    <row r="85" spans="3:9" ht="15.7" customHeight="1" x14ac:dyDescent="0.3">
      <c r="C85" s="20">
        <v>32</v>
      </c>
      <c r="D85" s="19" t="s">
        <v>721</v>
      </c>
      <c r="F85" s="24" t="s">
        <v>12</v>
      </c>
      <c r="G85" s="3"/>
      <c r="H85" s="3"/>
      <c r="I85" s="3"/>
    </row>
    <row r="86" spans="3:9" ht="15.7" customHeight="1" x14ac:dyDescent="0.3">
      <c r="C86" s="20">
        <v>33</v>
      </c>
      <c r="D86" s="19" t="s">
        <v>1788</v>
      </c>
      <c r="F86" s="24" t="s">
        <v>12</v>
      </c>
      <c r="G86" s="3"/>
      <c r="H86" s="3"/>
      <c r="I86" s="3"/>
    </row>
    <row r="87" spans="3:9" ht="15.7" customHeight="1" x14ac:dyDescent="0.3">
      <c r="C87" s="55">
        <v>34</v>
      </c>
      <c r="D87" s="19" t="s">
        <v>1789</v>
      </c>
      <c r="F87" s="24" t="s">
        <v>12</v>
      </c>
      <c r="G87" s="3"/>
      <c r="H87" s="3"/>
      <c r="I87" s="3"/>
    </row>
    <row r="88" spans="3:9" ht="15.7" customHeight="1" x14ac:dyDescent="0.3">
      <c r="C88" s="20">
        <v>35</v>
      </c>
      <c r="D88" s="19" t="s">
        <v>1790</v>
      </c>
      <c r="F88" s="24" t="s">
        <v>12</v>
      </c>
      <c r="G88" s="3"/>
      <c r="H88" s="3"/>
      <c r="I88" s="3"/>
    </row>
    <row r="89" spans="3:9" ht="15.7" customHeight="1" x14ac:dyDescent="0.3">
      <c r="C89" s="55">
        <v>36</v>
      </c>
      <c r="D89" s="19" t="s">
        <v>1791</v>
      </c>
      <c r="F89" s="24" t="s">
        <v>12</v>
      </c>
      <c r="G89" s="3"/>
      <c r="H89" s="3"/>
      <c r="I89" s="3"/>
    </row>
    <row r="90" spans="3:9" ht="15.7" customHeight="1" x14ac:dyDescent="0.3">
      <c r="C90" s="20">
        <v>37</v>
      </c>
      <c r="D90" s="19" t="s">
        <v>1210</v>
      </c>
      <c r="F90" s="24" t="s">
        <v>12</v>
      </c>
      <c r="G90" s="3"/>
      <c r="H90" s="3"/>
      <c r="I90" s="3"/>
    </row>
    <row r="91" spans="3:9" ht="15.7" customHeight="1" x14ac:dyDescent="0.3">
      <c r="C91" s="20">
        <v>38</v>
      </c>
      <c r="D91" s="19" t="s">
        <v>1792</v>
      </c>
      <c r="F91" s="24" t="s">
        <v>12</v>
      </c>
      <c r="G91" s="3"/>
      <c r="H91" s="3"/>
      <c r="I91" s="3"/>
    </row>
    <row r="92" spans="3:9" ht="15.7" customHeight="1" x14ac:dyDescent="0.3">
      <c r="C92" s="55">
        <v>39</v>
      </c>
      <c r="D92" s="19" t="s">
        <v>1793</v>
      </c>
      <c r="F92" s="24" t="s">
        <v>12</v>
      </c>
      <c r="G92" s="3"/>
      <c r="H92" s="3"/>
      <c r="I92" s="3"/>
    </row>
    <row r="93" spans="3:9" ht="15.7" customHeight="1" x14ac:dyDescent="0.3">
      <c r="C93" s="20">
        <v>40</v>
      </c>
      <c r="D93" s="19" t="s">
        <v>1794</v>
      </c>
      <c r="F93" s="24" t="s">
        <v>12</v>
      </c>
      <c r="G93" s="3"/>
      <c r="H93" s="3"/>
      <c r="I93" s="3"/>
    </row>
    <row r="94" spans="3:9" ht="15.7" customHeight="1" x14ac:dyDescent="0.3"/>
    <row r="95" spans="3:9" ht="15.7" customHeight="1" x14ac:dyDescent="0.3"/>
    <row r="96" spans="3:9" ht="15.7" customHeight="1" x14ac:dyDescent="0.3"/>
    <row r="97" ht="15.7" customHeight="1" x14ac:dyDescent="0.3"/>
    <row r="98" ht="15.7" customHeight="1" x14ac:dyDescent="0.3"/>
    <row r="99" ht="15.7" customHeight="1" x14ac:dyDescent="0.3"/>
    <row r="100" ht="15.7" customHeight="1" x14ac:dyDescent="0.3"/>
    <row r="101" ht="15.7" customHeight="1" x14ac:dyDescent="0.3"/>
    <row r="102" ht="15.7" customHeight="1" x14ac:dyDescent="0.3"/>
    <row r="103" ht="15.7" customHeight="1" x14ac:dyDescent="0.3"/>
    <row r="104" ht="15.7" customHeight="1" x14ac:dyDescent="0.3"/>
    <row r="105" ht="15.7" customHeight="1" x14ac:dyDescent="0.3"/>
    <row r="106" ht="15.7" customHeight="1" x14ac:dyDescent="0.3"/>
    <row r="107" ht="15.7" customHeight="1" x14ac:dyDescent="0.3"/>
    <row r="108" ht="15.7" customHeight="1" x14ac:dyDescent="0.3"/>
    <row r="109" ht="15.7" customHeight="1" x14ac:dyDescent="0.3"/>
    <row r="110" ht="15.7" customHeight="1" x14ac:dyDescent="0.3"/>
    <row r="111" ht="15.7" customHeight="1" x14ac:dyDescent="0.3"/>
    <row r="112" ht="15.7" customHeight="1" x14ac:dyDescent="0.3"/>
    <row r="113" ht="15.7" customHeight="1" x14ac:dyDescent="0.3"/>
    <row r="114" ht="15.7" customHeight="1" x14ac:dyDescent="0.3"/>
    <row r="115" ht="15.7" customHeight="1" x14ac:dyDescent="0.3"/>
    <row r="116" ht="15.7" customHeight="1" x14ac:dyDescent="0.3"/>
    <row r="117" ht="15.7" customHeight="1" x14ac:dyDescent="0.3"/>
    <row r="118" ht="15.7" customHeight="1" x14ac:dyDescent="0.3"/>
    <row r="119" ht="15.7" customHeight="1" x14ac:dyDescent="0.3"/>
    <row r="120" ht="15.7" customHeight="1" x14ac:dyDescent="0.3"/>
    <row r="121" ht="15.7" customHeight="1" x14ac:dyDescent="0.3"/>
    <row r="122" ht="15.7" customHeight="1" x14ac:dyDescent="0.3"/>
    <row r="123" ht="15.7" customHeight="1" x14ac:dyDescent="0.3"/>
    <row r="124" ht="15.7" customHeight="1" x14ac:dyDescent="0.3"/>
    <row r="125" ht="15.7" customHeight="1" x14ac:dyDescent="0.3"/>
    <row r="126" ht="15.7" customHeight="1" x14ac:dyDescent="0.3"/>
    <row r="127" ht="15.7" customHeight="1" x14ac:dyDescent="0.3"/>
    <row r="128" ht="15.7" customHeight="1" x14ac:dyDescent="0.3"/>
    <row r="129" ht="15.7" customHeight="1" x14ac:dyDescent="0.3"/>
    <row r="130" ht="15.7" customHeight="1" x14ac:dyDescent="0.3"/>
    <row r="131" ht="15.7" customHeight="1" x14ac:dyDescent="0.3"/>
    <row r="132" ht="15.7" customHeight="1" x14ac:dyDescent="0.3"/>
    <row r="133" ht="15.7" customHeight="1" x14ac:dyDescent="0.3"/>
    <row r="134" ht="15.7" customHeight="1" x14ac:dyDescent="0.3"/>
    <row r="135" ht="15.7" customHeight="1" x14ac:dyDescent="0.3"/>
    <row r="136" ht="15.7" customHeight="1" x14ac:dyDescent="0.3"/>
    <row r="137" ht="15.7" customHeight="1" x14ac:dyDescent="0.3"/>
    <row r="138" ht="15.7" customHeight="1" x14ac:dyDescent="0.3"/>
    <row r="139" ht="15.7" customHeight="1" x14ac:dyDescent="0.3"/>
    <row r="140" ht="15.7" customHeight="1" x14ac:dyDescent="0.3"/>
    <row r="141" ht="15.7" customHeight="1" x14ac:dyDescent="0.3"/>
    <row r="142" ht="15.7" customHeight="1" x14ac:dyDescent="0.3"/>
    <row r="143" ht="15.7" customHeight="1" x14ac:dyDescent="0.3"/>
    <row r="144" ht="15.7" customHeight="1" x14ac:dyDescent="0.3"/>
    <row r="145" ht="15.7" customHeight="1" x14ac:dyDescent="0.3"/>
    <row r="146" ht="15.7" customHeight="1" x14ac:dyDescent="0.3"/>
    <row r="147" ht="15.7" customHeight="1" x14ac:dyDescent="0.3"/>
    <row r="148" ht="15.7" customHeight="1" x14ac:dyDescent="0.3"/>
    <row r="149" ht="15.7" customHeight="1" x14ac:dyDescent="0.3"/>
    <row r="150" ht="15.7" customHeight="1" x14ac:dyDescent="0.3"/>
    <row r="151" ht="15.7" customHeight="1" x14ac:dyDescent="0.3"/>
    <row r="152" ht="15.7" customHeight="1" x14ac:dyDescent="0.3"/>
    <row r="153" ht="15.7" customHeight="1" x14ac:dyDescent="0.3"/>
    <row r="154" ht="15.7" customHeight="1" x14ac:dyDescent="0.3"/>
    <row r="155" ht="15.7" customHeight="1" x14ac:dyDescent="0.3"/>
    <row r="156" ht="15.7" customHeight="1" x14ac:dyDescent="0.3"/>
    <row r="157" ht="15.7" customHeight="1" x14ac:dyDescent="0.3"/>
    <row r="158" ht="15.7" customHeight="1" x14ac:dyDescent="0.3"/>
    <row r="159" ht="15.7" customHeight="1" x14ac:dyDescent="0.3"/>
    <row r="160" ht="15.7" customHeight="1" x14ac:dyDescent="0.3"/>
    <row r="161" ht="15.7" customHeight="1" x14ac:dyDescent="0.3"/>
    <row r="162" ht="15.7" customHeight="1" x14ac:dyDescent="0.3"/>
    <row r="163" ht="15.7" customHeight="1" x14ac:dyDescent="0.3"/>
    <row r="164" ht="15.7" customHeight="1" x14ac:dyDescent="0.3"/>
    <row r="165" ht="15.7" customHeight="1" x14ac:dyDescent="0.3"/>
    <row r="166" ht="15.7" customHeight="1" x14ac:dyDescent="0.3"/>
    <row r="167" ht="15.7" customHeight="1" x14ac:dyDescent="0.3"/>
    <row r="168" ht="15.7" customHeight="1" x14ac:dyDescent="0.3"/>
    <row r="169" ht="15.7" customHeight="1" x14ac:dyDescent="0.3"/>
    <row r="170" ht="15.7" customHeight="1" x14ac:dyDescent="0.3"/>
    <row r="171" ht="15.7" customHeight="1" x14ac:dyDescent="0.3"/>
    <row r="172" ht="15.7" customHeight="1" x14ac:dyDescent="0.3"/>
    <row r="173" ht="15.7" customHeight="1" x14ac:dyDescent="0.3"/>
    <row r="174" ht="15.7" customHeight="1" x14ac:dyDescent="0.3"/>
    <row r="175" ht="15.7" customHeight="1" x14ac:dyDescent="0.3"/>
    <row r="176" ht="15.7" customHeight="1" x14ac:dyDescent="0.3"/>
    <row r="177" ht="15.7" customHeight="1" x14ac:dyDescent="0.3"/>
    <row r="178" ht="15.7" customHeight="1" x14ac:dyDescent="0.3"/>
    <row r="179" ht="15.7" customHeight="1" x14ac:dyDescent="0.3"/>
    <row r="180" ht="15.7" customHeight="1" x14ac:dyDescent="0.3"/>
    <row r="181" ht="15.7" customHeight="1" x14ac:dyDescent="0.3"/>
    <row r="182" ht="15.7" customHeight="1" x14ac:dyDescent="0.3"/>
    <row r="183" ht="15.7" customHeight="1" x14ac:dyDescent="0.3"/>
    <row r="184" ht="15.7" customHeight="1" x14ac:dyDescent="0.3"/>
    <row r="185" ht="15.7" customHeight="1" x14ac:dyDescent="0.3"/>
    <row r="186" ht="15.7" customHeight="1" x14ac:dyDescent="0.3"/>
    <row r="187" ht="15.7" customHeight="1" x14ac:dyDescent="0.3"/>
    <row r="188" ht="15.7" customHeight="1" x14ac:dyDescent="0.3"/>
    <row r="189" ht="15.7" customHeight="1" x14ac:dyDescent="0.3"/>
    <row r="190" ht="15.7" customHeight="1" x14ac:dyDescent="0.3"/>
    <row r="191" ht="15.7" customHeight="1" x14ac:dyDescent="0.3"/>
    <row r="192" ht="15.7" customHeight="1" x14ac:dyDescent="0.3"/>
    <row r="193" ht="15.7" customHeight="1" x14ac:dyDescent="0.3"/>
    <row r="194" ht="15.7" customHeight="1" x14ac:dyDescent="0.3"/>
    <row r="195" ht="15.7" customHeight="1" x14ac:dyDescent="0.3"/>
    <row r="196" ht="15.7" customHeight="1" x14ac:dyDescent="0.3"/>
    <row r="197" ht="15.7" customHeight="1" x14ac:dyDescent="0.3"/>
    <row r="198" ht="15.7" customHeight="1" x14ac:dyDescent="0.3"/>
    <row r="199" ht="15.7" customHeight="1" x14ac:dyDescent="0.3"/>
    <row r="200" ht="15.7" customHeight="1" x14ac:dyDescent="0.3"/>
    <row r="201" ht="15.7" customHeight="1" x14ac:dyDescent="0.3"/>
    <row r="202" ht="15.7" customHeight="1" x14ac:dyDescent="0.3"/>
    <row r="203" ht="15.7" customHeight="1" x14ac:dyDescent="0.3"/>
    <row r="204" ht="15.7" customHeight="1" x14ac:dyDescent="0.3"/>
    <row r="205" ht="15.7" customHeight="1" x14ac:dyDescent="0.3"/>
    <row r="206" ht="15.7" customHeight="1" x14ac:dyDescent="0.3"/>
    <row r="207" ht="15.7" customHeight="1" x14ac:dyDescent="0.3"/>
    <row r="208" ht="15.7" customHeight="1" x14ac:dyDescent="0.3"/>
    <row r="209" ht="15.7" customHeight="1" x14ac:dyDescent="0.3"/>
    <row r="210" ht="15.7" customHeight="1" x14ac:dyDescent="0.3"/>
    <row r="211" ht="15.7" customHeight="1" x14ac:dyDescent="0.3"/>
    <row r="212" ht="15.7" customHeight="1" x14ac:dyDescent="0.3"/>
    <row r="213" ht="15.7" customHeight="1" x14ac:dyDescent="0.3"/>
    <row r="214" ht="15.7" customHeight="1" x14ac:dyDescent="0.3"/>
    <row r="215" ht="15.7" customHeight="1" x14ac:dyDescent="0.3"/>
    <row r="216" ht="15.7" customHeight="1" x14ac:dyDescent="0.3"/>
    <row r="217" ht="15.7" customHeight="1" x14ac:dyDescent="0.3"/>
    <row r="218" ht="15.7" customHeight="1" x14ac:dyDescent="0.3"/>
    <row r="219" ht="15.7" customHeight="1" x14ac:dyDescent="0.3"/>
    <row r="220" ht="15.7" customHeight="1" x14ac:dyDescent="0.3"/>
    <row r="221" ht="15.7" customHeight="1" x14ac:dyDescent="0.3"/>
    <row r="222" ht="15.7" customHeight="1" x14ac:dyDescent="0.3"/>
    <row r="223" ht="15.7" customHeight="1" x14ac:dyDescent="0.3"/>
    <row r="224" ht="15.7" customHeight="1" x14ac:dyDescent="0.3"/>
    <row r="225" ht="15.7" customHeight="1" x14ac:dyDescent="0.3"/>
    <row r="226" ht="15.7" customHeight="1" x14ac:dyDescent="0.3"/>
    <row r="227" ht="15.7" customHeight="1" x14ac:dyDescent="0.3"/>
    <row r="228" ht="15.7" customHeight="1" x14ac:dyDescent="0.3"/>
    <row r="229" ht="15.7" customHeight="1" x14ac:dyDescent="0.3"/>
    <row r="230" ht="15.7" customHeight="1" x14ac:dyDescent="0.3"/>
    <row r="231" ht="15.7" customHeight="1" x14ac:dyDescent="0.3"/>
    <row r="232" ht="15.7" customHeight="1" x14ac:dyDescent="0.3"/>
    <row r="233" ht="15.7" customHeight="1" x14ac:dyDescent="0.3"/>
    <row r="234" ht="15.7" customHeight="1" x14ac:dyDescent="0.3"/>
    <row r="235" ht="15.7" customHeight="1" x14ac:dyDescent="0.3"/>
    <row r="236" ht="15.7" customHeight="1" x14ac:dyDescent="0.3"/>
    <row r="237" ht="15.7" customHeight="1" x14ac:dyDescent="0.3"/>
    <row r="238" ht="15.7" customHeight="1" x14ac:dyDescent="0.3"/>
    <row r="239" ht="15.7" customHeight="1" x14ac:dyDescent="0.3"/>
    <row r="240" ht="15.7" customHeight="1" x14ac:dyDescent="0.3"/>
    <row r="241" ht="15.7" customHeight="1" x14ac:dyDescent="0.3"/>
    <row r="242" ht="15.7" customHeight="1" x14ac:dyDescent="0.3"/>
    <row r="243" ht="15.7" customHeight="1" x14ac:dyDescent="0.3"/>
    <row r="244" ht="15.7" customHeight="1" x14ac:dyDescent="0.3"/>
    <row r="245" ht="15.7" customHeight="1" x14ac:dyDescent="0.3"/>
    <row r="246" ht="15.7" customHeight="1" x14ac:dyDescent="0.3"/>
    <row r="247" ht="15.7" customHeight="1" x14ac:dyDescent="0.3"/>
    <row r="248" ht="15.7" customHeight="1" x14ac:dyDescent="0.3"/>
    <row r="249" ht="15.7" customHeight="1" x14ac:dyDescent="0.3"/>
    <row r="250" ht="15.7" customHeight="1" x14ac:dyDescent="0.3"/>
    <row r="251" ht="15.7" customHeight="1" x14ac:dyDescent="0.3"/>
    <row r="252" ht="15.7" customHeight="1" x14ac:dyDescent="0.3"/>
    <row r="253" ht="15.7" customHeight="1" x14ac:dyDescent="0.3"/>
    <row r="254" ht="15.7" customHeight="1" x14ac:dyDescent="0.3"/>
    <row r="255" ht="15.7" customHeight="1" x14ac:dyDescent="0.3"/>
    <row r="256" ht="15.7" customHeight="1" x14ac:dyDescent="0.3"/>
    <row r="257" ht="15.7" customHeight="1" x14ac:dyDescent="0.3"/>
    <row r="258" ht="15.7" customHeight="1" x14ac:dyDescent="0.3"/>
    <row r="259" ht="15.7" customHeight="1" x14ac:dyDescent="0.3"/>
    <row r="260" ht="15.7" customHeight="1" x14ac:dyDescent="0.3"/>
    <row r="261" ht="15.7" customHeight="1" x14ac:dyDescent="0.3"/>
    <row r="262" ht="15.7" customHeight="1" x14ac:dyDescent="0.3"/>
    <row r="263" ht="15.7" customHeight="1" x14ac:dyDescent="0.3"/>
    <row r="264" ht="15.7" customHeight="1" x14ac:dyDescent="0.3"/>
    <row r="265" ht="15.7" customHeight="1" x14ac:dyDescent="0.3"/>
    <row r="266" ht="15.7" customHeight="1" x14ac:dyDescent="0.3"/>
    <row r="267" ht="15.7" customHeight="1" x14ac:dyDescent="0.3"/>
    <row r="268" ht="15.7" customHeight="1" x14ac:dyDescent="0.3"/>
    <row r="269" ht="15.7" customHeight="1" x14ac:dyDescent="0.3"/>
    <row r="270" ht="15.7" customHeight="1" x14ac:dyDescent="0.3"/>
    <row r="271" ht="15.7" customHeight="1" x14ac:dyDescent="0.3"/>
    <row r="272" ht="15.7" customHeight="1" x14ac:dyDescent="0.3"/>
    <row r="273" ht="15.7" customHeight="1" x14ac:dyDescent="0.3"/>
    <row r="274" ht="15.7" customHeight="1" x14ac:dyDescent="0.3"/>
    <row r="275" ht="15.7" customHeight="1" x14ac:dyDescent="0.3"/>
    <row r="276" ht="15.7" customHeight="1" x14ac:dyDescent="0.3"/>
    <row r="277" ht="15.7" customHeight="1" x14ac:dyDescent="0.3"/>
    <row r="278" ht="15.7" customHeight="1" x14ac:dyDescent="0.3"/>
    <row r="279" ht="15.7" customHeight="1" x14ac:dyDescent="0.3"/>
    <row r="280" ht="15.7" customHeight="1" x14ac:dyDescent="0.3"/>
    <row r="281" ht="15.7" customHeight="1" x14ac:dyDescent="0.3"/>
    <row r="282" ht="15.7" customHeight="1" x14ac:dyDescent="0.3"/>
    <row r="283" ht="15.7" customHeight="1" x14ac:dyDescent="0.3"/>
    <row r="284" ht="15.7" customHeight="1" x14ac:dyDescent="0.3"/>
    <row r="285" ht="15.7" customHeight="1" x14ac:dyDescent="0.3"/>
    <row r="286" ht="15.7" customHeight="1" x14ac:dyDescent="0.3"/>
    <row r="287" ht="15.7" customHeight="1" x14ac:dyDescent="0.3"/>
    <row r="288" ht="15.7" customHeight="1" x14ac:dyDescent="0.3"/>
    <row r="289" ht="15.7" customHeight="1" x14ac:dyDescent="0.3"/>
    <row r="290" ht="15.7" customHeight="1" x14ac:dyDescent="0.3"/>
    <row r="291" ht="15.7" customHeight="1" x14ac:dyDescent="0.3"/>
    <row r="292" ht="15.7" customHeight="1" x14ac:dyDescent="0.3"/>
    <row r="293" ht="15.7" customHeight="1" x14ac:dyDescent="0.3"/>
    <row r="294" ht="15.7" customHeight="1" x14ac:dyDescent="0.3"/>
    <row r="295" ht="15.7" customHeight="1" x14ac:dyDescent="0.3"/>
    <row r="296" ht="15.7" customHeight="1" x14ac:dyDescent="0.3"/>
    <row r="297" ht="15.7" customHeight="1" x14ac:dyDescent="0.3"/>
    <row r="298" ht="15.7" customHeight="1" x14ac:dyDescent="0.3"/>
    <row r="299" ht="15.7" customHeight="1" x14ac:dyDescent="0.3"/>
    <row r="300" ht="15.7" customHeight="1" x14ac:dyDescent="0.3"/>
    <row r="301" ht="15.7" customHeight="1" x14ac:dyDescent="0.3"/>
    <row r="302" ht="15.7" customHeight="1" x14ac:dyDescent="0.3"/>
    <row r="303" ht="15.7" customHeight="1" x14ac:dyDescent="0.3"/>
    <row r="304" ht="15.7" customHeight="1" x14ac:dyDescent="0.3"/>
    <row r="305" ht="15.7" customHeight="1" x14ac:dyDescent="0.3"/>
    <row r="306" ht="15.7" customHeight="1" x14ac:dyDescent="0.3"/>
    <row r="307" ht="15.7" customHeight="1" x14ac:dyDescent="0.3"/>
    <row r="308" ht="15.7" customHeight="1" x14ac:dyDescent="0.3"/>
    <row r="309" ht="15.7" customHeight="1" x14ac:dyDescent="0.3"/>
    <row r="310" ht="15.7" customHeight="1" x14ac:dyDescent="0.3"/>
    <row r="311" ht="15.7" customHeight="1" x14ac:dyDescent="0.3"/>
    <row r="312" ht="15.7" customHeight="1" x14ac:dyDescent="0.3"/>
    <row r="313" ht="15.7" customHeight="1" x14ac:dyDescent="0.3"/>
    <row r="314" ht="15.7" customHeight="1" x14ac:dyDescent="0.3"/>
    <row r="315" ht="15.7" customHeight="1" x14ac:dyDescent="0.3"/>
    <row r="316" ht="15.7" customHeight="1" x14ac:dyDescent="0.3"/>
    <row r="317" ht="15.7" customHeight="1" x14ac:dyDescent="0.3"/>
    <row r="318" ht="15.7" customHeight="1" x14ac:dyDescent="0.3"/>
    <row r="319" ht="15.7" customHeight="1" x14ac:dyDescent="0.3"/>
    <row r="320" ht="15.7" customHeight="1" x14ac:dyDescent="0.3"/>
    <row r="321" ht="15.7" customHeight="1" x14ac:dyDescent="0.3"/>
    <row r="322" ht="15.7" customHeight="1" x14ac:dyDescent="0.3"/>
    <row r="323" ht="15.7" customHeight="1" x14ac:dyDescent="0.3"/>
    <row r="324" ht="15.7" customHeight="1" x14ac:dyDescent="0.3"/>
    <row r="325" ht="15.7" customHeight="1" x14ac:dyDescent="0.3"/>
    <row r="326" ht="15.7" customHeight="1" x14ac:dyDescent="0.3"/>
    <row r="327" ht="15.7" customHeight="1" x14ac:dyDescent="0.3"/>
    <row r="328" ht="15.7" customHeight="1" x14ac:dyDescent="0.3"/>
    <row r="329" ht="15.7" customHeight="1" x14ac:dyDescent="0.3"/>
    <row r="330" ht="15.7" customHeight="1" x14ac:dyDescent="0.3"/>
    <row r="331" ht="15.7" customHeight="1" x14ac:dyDescent="0.3"/>
    <row r="332" ht="15.7" customHeight="1" x14ac:dyDescent="0.3"/>
    <row r="333" ht="15.7" customHeight="1" x14ac:dyDescent="0.3"/>
    <row r="334" ht="15.7" customHeight="1" x14ac:dyDescent="0.3"/>
    <row r="335" ht="15.7" customHeight="1" x14ac:dyDescent="0.3"/>
    <row r="336" ht="15.7" customHeight="1" x14ac:dyDescent="0.3"/>
    <row r="337" ht="15.7" customHeight="1" x14ac:dyDescent="0.3"/>
    <row r="338" ht="15.7" customHeight="1" x14ac:dyDescent="0.3"/>
    <row r="339" ht="15.7" customHeight="1" x14ac:dyDescent="0.3"/>
    <row r="340" ht="15.7" customHeight="1" x14ac:dyDescent="0.3"/>
    <row r="341" ht="15.7" customHeight="1" x14ac:dyDescent="0.3"/>
    <row r="342" ht="15.7" customHeight="1" x14ac:dyDescent="0.3"/>
    <row r="343" ht="15.7" customHeight="1" x14ac:dyDescent="0.3"/>
    <row r="344" ht="15.7" customHeight="1" x14ac:dyDescent="0.3"/>
    <row r="345" ht="15.7" customHeight="1" x14ac:dyDescent="0.3"/>
    <row r="346" ht="15.7" customHeight="1" x14ac:dyDescent="0.3"/>
    <row r="347" ht="15.7" customHeight="1" x14ac:dyDescent="0.3"/>
    <row r="348" ht="15.7" customHeight="1" x14ac:dyDescent="0.3"/>
    <row r="349" ht="15.7" customHeight="1" x14ac:dyDescent="0.3"/>
    <row r="350" ht="15.7" customHeight="1" x14ac:dyDescent="0.3"/>
    <row r="351" ht="15.7" customHeight="1" x14ac:dyDescent="0.3"/>
    <row r="352" ht="15.7" customHeight="1" x14ac:dyDescent="0.3"/>
    <row r="353" ht="15.7" customHeight="1" x14ac:dyDescent="0.3"/>
    <row r="354" ht="15.7" customHeight="1" x14ac:dyDescent="0.3"/>
    <row r="355" ht="15.7" customHeight="1" x14ac:dyDescent="0.3"/>
    <row r="356" ht="15.7" customHeight="1" x14ac:dyDescent="0.3"/>
    <row r="357" ht="15.7" customHeight="1" x14ac:dyDescent="0.3"/>
    <row r="358" ht="15.7" customHeight="1" x14ac:dyDescent="0.3"/>
    <row r="359" ht="15.7" customHeight="1" x14ac:dyDescent="0.3"/>
    <row r="360" ht="15.7" customHeight="1" x14ac:dyDescent="0.3"/>
    <row r="361" ht="15.7" customHeight="1" x14ac:dyDescent="0.3"/>
    <row r="362" ht="15.7" customHeight="1" x14ac:dyDescent="0.3"/>
    <row r="363" ht="15.7" customHeight="1" x14ac:dyDescent="0.3"/>
    <row r="364" ht="15.7" customHeight="1" x14ac:dyDescent="0.3"/>
    <row r="365" ht="15.7" customHeight="1" x14ac:dyDescent="0.3"/>
    <row r="366" ht="15.7" customHeight="1" x14ac:dyDescent="0.3"/>
    <row r="367" ht="15.7" customHeight="1" x14ac:dyDescent="0.3"/>
    <row r="368" ht="15.7" customHeight="1" x14ac:dyDescent="0.3"/>
    <row r="369" ht="15.7" customHeight="1" x14ac:dyDescent="0.3"/>
    <row r="370" ht="15.7" customHeight="1" x14ac:dyDescent="0.3"/>
    <row r="371" ht="15.7" customHeight="1" x14ac:dyDescent="0.3"/>
    <row r="372" ht="15.7" customHeight="1" x14ac:dyDescent="0.3"/>
    <row r="373" ht="15.7" customHeight="1" x14ac:dyDescent="0.3"/>
    <row r="374" ht="15.7" customHeight="1" x14ac:dyDescent="0.3"/>
    <row r="375" ht="15.7" customHeight="1" x14ac:dyDescent="0.3"/>
    <row r="376" ht="15.7" customHeight="1" x14ac:dyDescent="0.3"/>
    <row r="377" ht="15.7" customHeight="1" x14ac:dyDescent="0.3"/>
    <row r="378" ht="15.7" customHeight="1" x14ac:dyDescent="0.3"/>
    <row r="379" ht="15.7" customHeight="1" x14ac:dyDescent="0.3"/>
    <row r="380" ht="15.7" customHeight="1" x14ac:dyDescent="0.3"/>
    <row r="381" ht="15.7" customHeight="1" x14ac:dyDescent="0.3"/>
    <row r="382" ht="15.7" customHeight="1" x14ac:dyDescent="0.3"/>
    <row r="383" ht="15.7" customHeight="1" x14ac:dyDescent="0.3"/>
    <row r="384" ht="15.7" customHeight="1" x14ac:dyDescent="0.3"/>
    <row r="385" ht="15.7" customHeight="1" x14ac:dyDescent="0.3"/>
    <row r="386" ht="15.7" customHeight="1" x14ac:dyDescent="0.3"/>
    <row r="387" ht="15.7" customHeight="1" x14ac:dyDescent="0.3"/>
    <row r="388" ht="15.7" customHeight="1" x14ac:dyDescent="0.3"/>
    <row r="389" ht="15.7" customHeight="1" x14ac:dyDescent="0.3"/>
    <row r="390" ht="15.7" customHeight="1" x14ac:dyDescent="0.3"/>
    <row r="391" ht="15.7" customHeight="1" x14ac:dyDescent="0.3"/>
    <row r="392" ht="15.7" customHeight="1" x14ac:dyDescent="0.3"/>
    <row r="393" ht="15.7" customHeight="1" x14ac:dyDescent="0.3"/>
    <row r="394" ht="15.7" customHeight="1" x14ac:dyDescent="0.3"/>
    <row r="395" ht="15.7" customHeight="1" x14ac:dyDescent="0.3"/>
    <row r="396" ht="15.7" customHeight="1" x14ac:dyDescent="0.3"/>
    <row r="397" ht="15.7" customHeight="1" x14ac:dyDescent="0.3"/>
    <row r="398" ht="15.7" customHeight="1" x14ac:dyDescent="0.3"/>
    <row r="399" ht="15.7" customHeight="1" x14ac:dyDescent="0.3"/>
    <row r="400" ht="15.7" customHeight="1" x14ac:dyDescent="0.3"/>
    <row r="401" ht="15.7" customHeight="1" x14ac:dyDescent="0.3"/>
    <row r="402" ht="15.7" customHeight="1" x14ac:dyDescent="0.3"/>
    <row r="403" ht="15.7" customHeight="1" x14ac:dyDescent="0.3"/>
    <row r="404" ht="15.7" customHeight="1" x14ac:dyDescent="0.3"/>
    <row r="405" ht="15.7" customHeight="1" x14ac:dyDescent="0.3"/>
    <row r="406" ht="15.7" customHeight="1" x14ac:dyDescent="0.3"/>
    <row r="407" ht="15.7" customHeight="1" x14ac:dyDescent="0.3"/>
    <row r="408" ht="15.7" customHeight="1" x14ac:dyDescent="0.3"/>
    <row r="409" ht="15.7" customHeight="1" x14ac:dyDescent="0.3"/>
    <row r="410" ht="15.7" customHeight="1" x14ac:dyDescent="0.3"/>
    <row r="411" ht="15.7" customHeight="1" x14ac:dyDescent="0.3"/>
    <row r="412" ht="15.7" customHeight="1" x14ac:dyDescent="0.3"/>
    <row r="413" ht="15.7" customHeight="1" x14ac:dyDescent="0.3"/>
    <row r="414" ht="15.7" customHeight="1" x14ac:dyDescent="0.3"/>
    <row r="415" ht="15.7" customHeight="1" x14ac:dyDescent="0.3"/>
    <row r="416" ht="15.7" customHeight="1" x14ac:dyDescent="0.3"/>
    <row r="417" ht="15.7" customHeight="1" x14ac:dyDescent="0.3"/>
    <row r="418" ht="15.7" customHeight="1" x14ac:dyDescent="0.3"/>
    <row r="419" ht="15.7" customHeight="1" x14ac:dyDescent="0.3"/>
    <row r="420" ht="15.7" customHeight="1" x14ac:dyDescent="0.3"/>
    <row r="421" ht="15.7" customHeight="1" x14ac:dyDescent="0.3"/>
    <row r="422" ht="15.7" customHeight="1" x14ac:dyDescent="0.3"/>
    <row r="423" ht="15.7" customHeight="1" x14ac:dyDescent="0.3"/>
    <row r="424" ht="15.7" customHeight="1" x14ac:dyDescent="0.3"/>
    <row r="425" ht="15.7" customHeight="1" x14ac:dyDescent="0.3"/>
    <row r="426" ht="15.7" customHeight="1" x14ac:dyDescent="0.3"/>
    <row r="427" ht="15.7" customHeight="1" x14ac:dyDescent="0.3"/>
    <row r="428" ht="15.7" customHeight="1" x14ac:dyDescent="0.3"/>
    <row r="429" ht="15.7" customHeight="1" x14ac:dyDescent="0.3"/>
    <row r="430" ht="15.7" customHeight="1" x14ac:dyDescent="0.3"/>
    <row r="431" ht="15.7" customHeight="1" x14ac:dyDescent="0.3"/>
    <row r="432" ht="15.7" customHeight="1" x14ac:dyDescent="0.3"/>
    <row r="433" ht="15.7" customHeight="1" x14ac:dyDescent="0.3"/>
    <row r="434" ht="15.7" customHeight="1" x14ac:dyDescent="0.3"/>
    <row r="435" ht="15.7" customHeight="1" x14ac:dyDescent="0.3"/>
    <row r="436" ht="15.7" customHeight="1" x14ac:dyDescent="0.3"/>
    <row r="437" ht="15.7" customHeight="1" x14ac:dyDescent="0.3"/>
    <row r="438" ht="15.7" customHeight="1" x14ac:dyDescent="0.3"/>
    <row r="439" ht="15.7" customHeight="1" x14ac:dyDescent="0.3"/>
    <row r="440" ht="15.7" customHeight="1" x14ac:dyDescent="0.3"/>
    <row r="441" ht="15.7" customHeight="1" x14ac:dyDescent="0.3"/>
    <row r="442" ht="15.7" customHeight="1" x14ac:dyDescent="0.3"/>
    <row r="443" ht="15.7" customHeight="1" x14ac:dyDescent="0.3"/>
    <row r="444" ht="15.7" customHeight="1" x14ac:dyDescent="0.3"/>
    <row r="445" ht="15.7" customHeight="1" x14ac:dyDescent="0.3"/>
    <row r="446" ht="15.7" customHeight="1" x14ac:dyDescent="0.3"/>
    <row r="447" ht="15.7" customHeight="1" x14ac:dyDescent="0.3"/>
    <row r="448" ht="15.7" customHeight="1" x14ac:dyDescent="0.3"/>
    <row r="449" ht="15.7" customHeight="1" x14ac:dyDescent="0.3"/>
    <row r="450" ht="15.7" customHeight="1" x14ac:dyDescent="0.3"/>
    <row r="451" ht="15.7" customHeight="1" x14ac:dyDescent="0.3"/>
    <row r="452" ht="15.7" customHeight="1" x14ac:dyDescent="0.3"/>
    <row r="453" ht="15.7" customHeight="1" x14ac:dyDescent="0.3"/>
    <row r="454" ht="15.7" customHeight="1" x14ac:dyDescent="0.3"/>
    <row r="455" ht="15.7" customHeight="1" x14ac:dyDescent="0.3"/>
    <row r="456" ht="15.7" customHeight="1" x14ac:dyDescent="0.3"/>
    <row r="457" ht="15.7" customHeight="1" x14ac:dyDescent="0.3"/>
    <row r="458" ht="15.7" customHeight="1" x14ac:dyDescent="0.3"/>
    <row r="459" ht="15.7" customHeight="1" x14ac:dyDescent="0.3"/>
    <row r="460" ht="15.7" customHeight="1" x14ac:dyDescent="0.3"/>
    <row r="461" ht="15.7" customHeight="1" x14ac:dyDescent="0.3"/>
    <row r="462" ht="15.7" customHeight="1" x14ac:dyDescent="0.3"/>
    <row r="463" ht="15.7" customHeight="1" x14ac:dyDescent="0.3"/>
    <row r="464" ht="15.7" customHeight="1" x14ac:dyDescent="0.3"/>
    <row r="465" ht="15.7" customHeight="1" x14ac:dyDescent="0.3"/>
    <row r="466" ht="15.7" customHeight="1" x14ac:dyDescent="0.3"/>
    <row r="467" ht="15.7" customHeight="1" x14ac:dyDescent="0.3"/>
    <row r="468" ht="15.7" customHeight="1" x14ac:dyDescent="0.3"/>
    <row r="469" ht="15.7" customHeight="1" x14ac:dyDescent="0.3"/>
    <row r="470" ht="15.7" customHeight="1" x14ac:dyDescent="0.3"/>
    <row r="471" ht="15.7" customHeight="1" x14ac:dyDescent="0.3"/>
    <row r="472" ht="15.7" customHeight="1" x14ac:dyDescent="0.3"/>
    <row r="473" ht="15.7" customHeight="1" x14ac:dyDescent="0.3"/>
    <row r="474" ht="15.7" customHeight="1" x14ac:dyDescent="0.3"/>
    <row r="475" ht="15.7" customHeight="1" x14ac:dyDescent="0.3"/>
    <row r="476" ht="15.7" customHeight="1" x14ac:dyDescent="0.3"/>
    <row r="477" ht="15.7" customHeight="1" x14ac:dyDescent="0.3"/>
    <row r="478" ht="15.7" customHeight="1" x14ac:dyDescent="0.3"/>
    <row r="479" ht="15.7" customHeight="1" x14ac:dyDescent="0.3"/>
    <row r="480" ht="15.7" customHeight="1" x14ac:dyDescent="0.3"/>
    <row r="481" ht="15.7" customHeight="1" x14ac:dyDescent="0.3"/>
    <row r="482" ht="15.7" customHeight="1" x14ac:dyDescent="0.3"/>
    <row r="483" ht="15.7" customHeight="1" x14ac:dyDescent="0.3"/>
    <row r="484" ht="15.7" customHeight="1" x14ac:dyDescent="0.3"/>
    <row r="485" ht="15.7" customHeight="1" x14ac:dyDescent="0.3"/>
    <row r="486" ht="15.7" customHeight="1" x14ac:dyDescent="0.3"/>
    <row r="487" ht="15.7" customHeight="1" x14ac:dyDescent="0.3"/>
    <row r="488" ht="15.7" customHeight="1" x14ac:dyDescent="0.3"/>
    <row r="489" ht="15.7" customHeight="1" x14ac:dyDescent="0.3"/>
    <row r="490" ht="15.7" customHeight="1" x14ac:dyDescent="0.3"/>
    <row r="491" ht="15.7" customHeight="1" x14ac:dyDescent="0.3"/>
    <row r="492" ht="15.7" customHeight="1" x14ac:dyDescent="0.3"/>
    <row r="493" ht="15.7" customHeight="1" x14ac:dyDescent="0.3"/>
    <row r="494" ht="15.7" customHeight="1" x14ac:dyDescent="0.3"/>
    <row r="495" ht="15.7" customHeight="1" x14ac:dyDescent="0.3"/>
    <row r="496" ht="15.7" customHeight="1" x14ac:dyDescent="0.3"/>
    <row r="497" ht="15.7" customHeight="1" x14ac:dyDescent="0.3"/>
    <row r="498" ht="15.7" customHeight="1" x14ac:dyDescent="0.3"/>
    <row r="499" ht="15.7" customHeight="1" x14ac:dyDescent="0.3"/>
    <row r="500" ht="15.7" customHeight="1" x14ac:dyDescent="0.3"/>
    <row r="501" ht="15.7" customHeight="1" x14ac:dyDescent="0.3"/>
    <row r="502" ht="15.7" customHeight="1" x14ac:dyDescent="0.3"/>
    <row r="503" ht="15.7" customHeight="1" x14ac:dyDescent="0.3"/>
    <row r="504" ht="15.7" customHeight="1" x14ac:dyDescent="0.3"/>
    <row r="505" ht="15.7" customHeight="1" x14ac:dyDescent="0.3"/>
    <row r="506" ht="15.7" customHeight="1" x14ac:dyDescent="0.3"/>
    <row r="507" ht="15.7" customHeight="1" x14ac:dyDescent="0.3"/>
    <row r="508" ht="15.7" customHeight="1" x14ac:dyDescent="0.3"/>
    <row r="509" ht="15.7" customHeight="1" x14ac:dyDescent="0.3"/>
    <row r="510" ht="15.7" customHeight="1" x14ac:dyDescent="0.3"/>
    <row r="511" ht="15.7" customHeight="1" x14ac:dyDescent="0.3"/>
    <row r="512" ht="15.7" customHeight="1" x14ac:dyDescent="0.3"/>
    <row r="513" ht="15.7" customHeight="1" x14ac:dyDescent="0.3"/>
    <row r="514" ht="15.7" customHeight="1" x14ac:dyDescent="0.3"/>
    <row r="515" ht="15.7" customHeight="1" x14ac:dyDescent="0.3"/>
    <row r="516" ht="15.7" customHeight="1" x14ac:dyDescent="0.3"/>
    <row r="517" ht="15.7" customHeight="1" x14ac:dyDescent="0.3"/>
    <row r="518" ht="15.7" customHeight="1" x14ac:dyDescent="0.3"/>
    <row r="519" ht="15.7" customHeight="1" x14ac:dyDescent="0.3"/>
    <row r="520" ht="15.7" customHeight="1" x14ac:dyDescent="0.3"/>
    <row r="521" ht="15.7" customHeight="1" x14ac:dyDescent="0.3"/>
    <row r="522" ht="15.7" customHeight="1" x14ac:dyDescent="0.3"/>
    <row r="523" ht="15.7" customHeight="1" x14ac:dyDescent="0.3"/>
    <row r="524" ht="15.7" customHeight="1" x14ac:dyDescent="0.3"/>
    <row r="525" ht="15.7" customHeight="1" x14ac:dyDescent="0.3"/>
    <row r="526" ht="15.7" customHeight="1" x14ac:dyDescent="0.3"/>
    <row r="527" ht="15.7" customHeight="1" x14ac:dyDescent="0.3"/>
    <row r="528" ht="15.7" customHeight="1" x14ac:dyDescent="0.3"/>
    <row r="529" ht="15.7" customHeight="1" x14ac:dyDescent="0.3"/>
    <row r="530" ht="15.7" customHeight="1" x14ac:dyDescent="0.3"/>
    <row r="531" ht="15.7" customHeight="1" x14ac:dyDescent="0.3"/>
    <row r="532" ht="15.7" customHeight="1" x14ac:dyDescent="0.3"/>
    <row r="533" ht="15.7" customHeight="1" x14ac:dyDescent="0.3"/>
    <row r="534" ht="15.7" customHeight="1" x14ac:dyDescent="0.3"/>
    <row r="535" ht="15.7" customHeight="1" x14ac:dyDescent="0.3"/>
    <row r="536" ht="15.7" customHeight="1" x14ac:dyDescent="0.3"/>
    <row r="537" ht="15.7" customHeight="1" x14ac:dyDescent="0.3"/>
    <row r="538" ht="15.7" customHeight="1" x14ac:dyDescent="0.3"/>
    <row r="539" ht="15.7" customHeight="1" x14ac:dyDescent="0.3"/>
    <row r="540" ht="15.7" customHeight="1" x14ac:dyDescent="0.3"/>
    <row r="541" ht="15.7" customHeight="1" x14ac:dyDescent="0.3"/>
    <row r="542" ht="15.7" customHeight="1" x14ac:dyDescent="0.3"/>
    <row r="543" ht="15.7" customHeight="1" x14ac:dyDescent="0.3"/>
    <row r="544" ht="15.7" customHeight="1" x14ac:dyDescent="0.3"/>
    <row r="545" ht="15.7" customHeight="1" x14ac:dyDescent="0.3"/>
    <row r="546" ht="15.7" customHeight="1" x14ac:dyDescent="0.3"/>
    <row r="547" ht="15.7" customHeight="1" x14ac:dyDescent="0.3"/>
    <row r="548" ht="15.7" customHeight="1" x14ac:dyDescent="0.3"/>
    <row r="549" ht="15.7" customHeight="1" x14ac:dyDescent="0.3"/>
    <row r="550" ht="15.7" customHeight="1" x14ac:dyDescent="0.3"/>
    <row r="551" ht="15.7" customHeight="1" x14ac:dyDescent="0.3"/>
    <row r="552" ht="15.7" customHeight="1" x14ac:dyDescent="0.3"/>
    <row r="553" ht="15.7" customHeight="1" x14ac:dyDescent="0.3"/>
    <row r="554" ht="15.7" customHeight="1" x14ac:dyDescent="0.3"/>
    <row r="555" ht="15.7" customHeight="1" x14ac:dyDescent="0.3"/>
    <row r="556" ht="15.7" customHeight="1" x14ac:dyDescent="0.3"/>
    <row r="557" ht="15.7" customHeight="1" x14ac:dyDescent="0.3"/>
    <row r="558" ht="15.7" customHeight="1" x14ac:dyDescent="0.3"/>
    <row r="559" ht="15.7" customHeight="1" x14ac:dyDescent="0.3"/>
    <row r="560" ht="15.7" customHeight="1" x14ac:dyDescent="0.3"/>
    <row r="561" ht="15.7" customHeight="1" x14ac:dyDescent="0.3"/>
    <row r="562" ht="15.7" customHeight="1" x14ac:dyDescent="0.3"/>
    <row r="563" ht="15.7" customHeight="1" x14ac:dyDescent="0.3"/>
    <row r="564" ht="15.7" customHeight="1" x14ac:dyDescent="0.3"/>
    <row r="565" ht="15.7" customHeight="1" x14ac:dyDescent="0.3"/>
    <row r="566" ht="15.7" customHeight="1" x14ac:dyDescent="0.3"/>
    <row r="567" ht="15.7" customHeight="1" x14ac:dyDescent="0.3"/>
    <row r="568" ht="15.7" customHeight="1" x14ac:dyDescent="0.3"/>
    <row r="569" ht="15.7" customHeight="1" x14ac:dyDescent="0.3"/>
    <row r="570" ht="15.7" customHeight="1" x14ac:dyDescent="0.3"/>
    <row r="571" ht="15.7" customHeight="1" x14ac:dyDescent="0.3"/>
    <row r="572" ht="15.7" customHeight="1" x14ac:dyDescent="0.3"/>
    <row r="573" ht="15.7" customHeight="1" x14ac:dyDescent="0.3"/>
    <row r="574" ht="15.7" customHeight="1" x14ac:dyDescent="0.3"/>
    <row r="575" ht="15.7" customHeight="1" x14ac:dyDescent="0.3"/>
    <row r="576" ht="15.7" customHeight="1" x14ac:dyDescent="0.3"/>
    <row r="577" ht="15.7" customHeight="1" x14ac:dyDescent="0.3"/>
    <row r="578" ht="15.7" customHeight="1" x14ac:dyDescent="0.3"/>
    <row r="579" ht="15.7" customHeight="1" x14ac:dyDescent="0.3"/>
    <row r="580" ht="15.7" customHeight="1" x14ac:dyDescent="0.3"/>
    <row r="581" ht="15.7" customHeight="1" x14ac:dyDescent="0.3"/>
    <row r="582" ht="15.7" customHeight="1" x14ac:dyDescent="0.3"/>
    <row r="583" ht="15.7" customHeight="1" x14ac:dyDescent="0.3"/>
    <row r="584" ht="15.7" customHeight="1" x14ac:dyDescent="0.3"/>
    <row r="585" ht="15.7" customHeight="1" x14ac:dyDescent="0.3"/>
    <row r="586" ht="15.7" customHeight="1" x14ac:dyDescent="0.3"/>
    <row r="587" ht="15.7" customHeight="1" x14ac:dyDescent="0.3"/>
    <row r="588" ht="15.7" customHeight="1" x14ac:dyDescent="0.3"/>
    <row r="589" ht="15.7" customHeight="1" x14ac:dyDescent="0.3"/>
    <row r="590" ht="15.7" customHeight="1" x14ac:dyDescent="0.3"/>
    <row r="591" ht="15.7" customHeight="1" x14ac:dyDescent="0.3"/>
    <row r="592" ht="15.7" customHeight="1" x14ac:dyDescent="0.3"/>
    <row r="593" ht="15.7" customHeight="1" x14ac:dyDescent="0.3"/>
    <row r="594" ht="15.7" customHeight="1" x14ac:dyDescent="0.3"/>
    <row r="595" ht="15.7" customHeight="1" x14ac:dyDescent="0.3"/>
    <row r="596" ht="15.7" customHeight="1" x14ac:dyDescent="0.3"/>
    <row r="597" ht="15.7" customHeight="1" x14ac:dyDescent="0.3"/>
    <row r="598" ht="15.7" customHeight="1" x14ac:dyDescent="0.3"/>
    <row r="599" ht="15.7" customHeight="1" x14ac:dyDescent="0.3"/>
    <row r="600" ht="15.7" customHeight="1" x14ac:dyDescent="0.3"/>
    <row r="601" ht="15.7" customHeight="1" x14ac:dyDescent="0.3"/>
    <row r="602" ht="15.7" customHeight="1" x14ac:dyDescent="0.3"/>
    <row r="603" ht="15.7" customHeight="1" x14ac:dyDescent="0.3"/>
    <row r="604" ht="15.7" customHeight="1" x14ac:dyDescent="0.3"/>
    <row r="605" ht="15.7" customHeight="1" x14ac:dyDescent="0.3"/>
    <row r="606" ht="15.7" customHeight="1" x14ac:dyDescent="0.3"/>
    <row r="607" ht="15.7" customHeight="1" x14ac:dyDescent="0.3"/>
    <row r="608" ht="15.7" customHeight="1" x14ac:dyDescent="0.3"/>
    <row r="609" ht="15.7" customHeight="1" x14ac:dyDescent="0.3"/>
    <row r="610" ht="15.7" customHeight="1" x14ac:dyDescent="0.3"/>
    <row r="611" ht="15.7" customHeight="1" x14ac:dyDescent="0.3"/>
    <row r="612" ht="15.7" customHeight="1" x14ac:dyDescent="0.3"/>
    <row r="613" ht="15.7" customHeight="1" x14ac:dyDescent="0.3"/>
    <row r="614" ht="15.7" customHeight="1" x14ac:dyDescent="0.3"/>
    <row r="615" ht="15.7" customHeight="1" x14ac:dyDescent="0.3"/>
    <row r="616" ht="15.7" customHeight="1" x14ac:dyDescent="0.3"/>
    <row r="617" ht="15.7" customHeight="1" x14ac:dyDescent="0.3"/>
    <row r="618" ht="15.7" customHeight="1" x14ac:dyDescent="0.3"/>
    <row r="619" ht="15.7" customHeight="1" x14ac:dyDescent="0.3"/>
    <row r="620" ht="15.7" customHeight="1" x14ac:dyDescent="0.3"/>
    <row r="621" ht="15.7" customHeight="1" x14ac:dyDescent="0.3"/>
    <row r="622" ht="15.7" customHeight="1" x14ac:dyDescent="0.3"/>
    <row r="623" ht="15.7" customHeight="1" x14ac:dyDescent="0.3"/>
    <row r="624" ht="15.7" customHeight="1" x14ac:dyDescent="0.3"/>
    <row r="625" ht="15.7" customHeight="1" x14ac:dyDescent="0.3"/>
    <row r="626" ht="15.7" customHeight="1" x14ac:dyDescent="0.3"/>
    <row r="627" ht="15.7" customHeight="1" x14ac:dyDescent="0.3"/>
    <row r="628" ht="15.7" customHeight="1" x14ac:dyDescent="0.3"/>
    <row r="629" ht="15.7" customHeight="1" x14ac:dyDescent="0.3"/>
    <row r="630" ht="15.7" customHeight="1" x14ac:dyDescent="0.3"/>
    <row r="631" ht="15.7" customHeight="1" x14ac:dyDescent="0.3"/>
    <row r="632" ht="15.7" customHeight="1" x14ac:dyDescent="0.3"/>
    <row r="633" ht="15.7" customHeight="1" x14ac:dyDescent="0.3"/>
    <row r="634" ht="15.7" customHeight="1" x14ac:dyDescent="0.3"/>
    <row r="635" ht="15.7" customHeight="1" x14ac:dyDescent="0.3"/>
    <row r="636" ht="15.7" customHeight="1" x14ac:dyDescent="0.3"/>
    <row r="637" ht="15.7" customHeight="1" x14ac:dyDescent="0.3"/>
    <row r="638" ht="15.7" customHeight="1" x14ac:dyDescent="0.3"/>
    <row r="639" ht="15.7" customHeight="1" x14ac:dyDescent="0.3"/>
    <row r="640" ht="15.7" customHeight="1" x14ac:dyDescent="0.3"/>
    <row r="641" ht="15.7" customHeight="1" x14ac:dyDescent="0.3"/>
    <row r="642" ht="15.7" customHeight="1" x14ac:dyDescent="0.3"/>
    <row r="643" ht="15.7" customHeight="1" x14ac:dyDescent="0.3"/>
    <row r="644" ht="15.7" customHeight="1" x14ac:dyDescent="0.3"/>
    <row r="645" ht="15.7" customHeight="1" x14ac:dyDescent="0.3"/>
    <row r="646" ht="15.7" customHeight="1" x14ac:dyDescent="0.3"/>
    <row r="647" ht="15.7" customHeight="1" x14ac:dyDescent="0.3"/>
    <row r="648" ht="15.7" customHeight="1" x14ac:dyDescent="0.3"/>
    <row r="649" ht="15.7" customHeight="1" x14ac:dyDescent="0.3"/>
    <row r="650" ht="15.7" customHeight="1" x14ac:dyDescent="0.3"/>
    <row r="651" ht="15.7" customHeight="1" x14ac:dyDescent="0.3"/>
    <row r="652" ht="15.7" customHeight="1" x14ac:dyDescent="0.3"/>
    <row r="653" ht="15.7" customHeight="1" x14ac:dyDescent="0.3"/>
    <row r="654" ht="15.7" customHeight="1" x14ac:dyDescent="0.3"/>
    <row r="655" ht="15.7" customHeight="1" x14ac:dyDescent="0.3"/>
    <row r="656" ht="15.7" customHeight="1" x14ac:dyDescent="0.3"/>
    <row r="657" ht="15.7" customHeight="1" x14ac:dyDescent="0.3"/>
    <row r="658" ht="15.7" customHeight="1" x14ac:dyDescent="0.3"/>
    <row r="659" ht="15.7" customHeight="1" x14ac:dyDescent="0.3"/>
    <row r="660" ht="15.7" customHeight="1" x14ac:dyDescent="0.3"/>
    <row r="661" ht="15.7" customHeight="1" x14ac:dyDescent="0.3"/>
    <row r="662" ht="15.7" customHeight="1" x14ac:dyDescent="0.3"/>
    <row r="663" ht="15.7" customHeight="1" x14ac:dyDescent="0.3"/>
    <row r="664" ht="15.7" customHeight="1" x14ac:dyDescent="0.3"/>
    <row r="665" ht="15.7" customHeight="1" x14ac:dyDescent="0.3"/>
    <row r="666" ht="15.7" customHeight="1" x14ac:dyDescent="0.3"/>
    <row r="667" ht="15.7" customHeight="1" x14ac:dyDescent="0.3"/>
    <row r="668" ht="15.7" customHeight="1" x14ac:dyDescent="0.3"/>
    <row r="669" ht="15.7" customHeight="1" x14ac:dyDescent="0.3"/>
    <row r="670" ht="15.7" customHeight="1" x14ac:dyDescent="0.3"/>
    <row r="671" ht="15.7" customHeight="1" x14ac:dyDescent="0.3"/>
    <row r="672" ht="15.7" customHeight="1" x14ac:dyDescent="0.3"/>
    <row r="673" ht="15.7" customHeight="1" x14ac:dyDescent="0.3"/>
    <row r="674" ht="15.7" customHeight="1" x14ac:dyDescent="0.3"/>
    <row r="675" ht="15.7" customHeight="1" x14ac:dyDescent="0.3"/>
    <row r="676" ht="15.7" customHeight="1" x14ac:dyDescent="0.3"/>
    <row r="677" ht="15.7" customHeight="1" x14ac:dyDescent="0.3"/>
    <row r="678" ht="15.7" customHeight="1" x14ac:dyDescent="0.3"/>
    <row r="679" ht="15.7" customHeight="1" x14ac:dyDescent="0.3"/>
    <row r="680" ht="15.7" customHeight="1" x14ac:dyDescent="0.3"/>
    <row r="681" ht="15.7" customHeight="1" x14ac:dyDescent="0.3"/>
    <row r="682" ht="15.7" customHeight="1" x14ac:dyDescent="0.3"/>
    <row r="683" ht="15.7" customHeight="1" x14ac:dyDescent="0.3"/>
    <row r="684" ht="15.7" customHeight="1" x14ac:dyDescent="0.3"/>
    <row r="685" ht="15.7" customHeight="1" x14ac:dyDescent="0.3"/>
    <row r="686" ht="15.7" customHeight="1" x14ac:dyDescent="0.3"/>
    <row r="687" ht="15.7" customHeight="1" x14ac:dyDescent="0.3"/>
    <row r="688" ht="15.7" customHeight="1" x14ac:dyDescent="0.3"/>
    <row r="689" ht="15.7" customHeight="1" x14ac:dyDescent="0.3"/>
    <row r="690" ht="15.7" customHeight="1" x14ac:dyDescent="0.3"/>
    <row r="691" ht="15.7" customHeight="1" x14ac:dyDescent="0.3"/>
    <row r="692" ht="15.7" customHeight="1" x14ac:dyDescent="0.3"/>
    <row r="693" ht="15.7" customHeight="1" x14ac:dyDescent="0.3"/>
    <row r="694" ht="15.7" customHeight="1" x14ac:dyDescent="0.3"/>
    <row r="695" ht="15.7" customHeight="1" x14ac:dyDescent="0.3"/>
    <row r="696" ht="15.7" customHeight="1" x14ac:dyDescent="0.3"/>
    <row r="697" ht="15.7" customHeight="1" x14ac:dyDescent="0.3"/>
    <row r="698" ht="15.7" customHeight="1" x14ac:dyDescent="0.3"/>
    <row r="699" ht="15.7" customHeight="1" x14ac:dyDescent="0.3"/>
    <row r="700" ht="15.7" customHeight="1" x14ac:dyDescent="0.3"/>
    <row r="701" ht="15.7" customHeight="1" x14ac:dyDescent="0.3"/>
    <row r="702" ht="15.7" customHeight="1" x14ac:dyDescent="0.3"/>
    <row r="703" ht="15.7" customHeight="1" x14ac:dyDescent="0.3"/>
    <row r="704" ht="15.7" customHeight="1" x14ac:dyDescent="0.3"/>
    <row r="705" ht="15.7" customHeight="1" x14ac:dyDescent="0.3"/>
    <row r="706" ht="15.7" customHeight="1" x14ac:dyDescent="0.3"/>
    <row r="707" ht="15.7" customHeight="1" x14ac:dyDescent="0.3"/>
    <row r="708" ht="15.7" customHeight="1" x14ac:dyDescent="0.3"/>
    <row r="709" ht="15.7" customHeight="1" x14ac:dyDescent="0.3"/>
    <row r="710" ht="15.7" customHeight="1" x14ac:dyDescent="0.3"/>
    <row r="711" ht="15.7" customHeight="1" x14ac:dyDescent="0.3"/>
    <row r="712" ht="15.7" customHeight="1" x14ac:dyDescent="0.3"/>
    <row r="713" ht="15.7" customHeight="1" x14ac:dyDescent="0.3"/>
    <row r="714" ht="15.7" customHeight="1" x14ac:dyDescent="0.3"/>
    <row r="715" ht="15.7" customHeight="1" x14ac:dyDescent="0.3"/>
    <row r="716" ht="15.7" customHeight="1" x14ac:dyDescent="0.3"/>
    <row r="717" ht="15.7" customHeight="1" x14ac:dyDescent="0.3"/>
    <row r="718" ht="15.7" customHeight="1" x14ac:dyDescent="0.3"/>
    <row r="719" ht="15.7" customHeight="1" x14ac:dyDescent="0.3"/>
    <row r="720" ht="15.7" customHeight="1" x14ac:dyDescent="0.3"/>
    <row r="721" ht="15.7" customHeight="1" x14ac:dyDescent="0.3"/>
    <row r="722" ht="15.7" customHeight="1" x14ac:dyDescent="0.3"/>
    <row r="723" ht="15.7" customHeight="1" x14ac:dyDescent="0.3"/>
    <row r="724" ht="15.7" customHeight="1" x14ac:dyDescent="0.3"/>
    <row r="725" ht="15.7" customHeight="1" x14ac:dyDescent="0.3"/>
    <row r="726" ht="15.7" customHeight="1" x14ac:dyDescent="0.3"/>
    <row r="727" ht="15.7" customHeight="1" x14ac:dyDescent="0.3"/>
    <row r="728" ht="15.7" customHeight="1" x14ac:dyDescent="0.3"/>
    <row r="729" ht="15.7" customHeight="1" x14ac:dyDescent="0.3"/>
    <row r="730" ht="15.7" customHeight="1" x14ac:dyDescent="0.3"/>
    <row r="731" ht="15.7" customHeight="1" x14ac:dyDescent="0.3"/>
    <row r="732" ht="15.7" customHeight="1" x14ac:dyDescent="0.3"/>
    <row r="733" ht="15.7" customHeight="1" x14ac:dyDescent="0.3"/>
    <row r="734" ht="15.7" customHeight="1" x14ac:dyDescent="0.3"/>
    <row r="735" ht="15.7" customHeight="1" x14ac:dyDescent="0.3"/>
    <row r="736" ht="15.7" customHeight="1" x14ac:dyDescent="0.3"/>
    <row r="737" ht="15.7" customHeight="1" x14ac:dyDescent="0.3"/>
    <row r="738" ht="15.7" customHeight="1" x14ac:dyDescent="0.3"/>
    <row r="739" ht="15.7" customHeight="1" x14ac:dyDescent="0.3"/>
    <row r="740" ht="15.7" customHeight="1" x14ac:dyDescent="0.3"/>
    <row r="741" ht="15.7" customHeight="1" x14ac:dyDescent="0.3"/>
    <row r="742" ht="15.7" customHeight="1" x14ac:dyDescent="0.3"/>
    <row r="743" ht="15.7" customHeight="1" x14ac:dyDescent="0.3"/>
    <row r="744" ht="15.7" customHeight="1" x14ac:dyDescent="0.3"/>
    <row r="745" ht="15.7" customHeight="1" x14ac:dyDescent="0.3"/>
    <row r="746" ht="15.7" customHeight="1" x14ac:dyDescent="0.3"/>
    <row r="747" ht="15.7" customHeight="1" x14ac:dyDescent="0.3"/>
    <row r="748" ht="15.7" customHeight="1" x14ac:dyDescent="0.3"/>
    <row r="749" ht="15.7" customHeight="1" x14ac:dyDescent="0.3"/>
    <row r="750" ht="15.7" customHeight="1" x14ac:dyDescent="0.3"/>
    <row r="751" ht="15.7" customHeight="1" x14ac:dyDescent="0.3"/>
    <row r="752" ht="15.7" customHeight="1" x14ac:dyDescent="0.3"/>
    <row r="753" ht="15.7" customHeight="1" x14ac:dyDescent="0.3"/>
    <row r="754" ht="15.7" customHeight="1" x14ac:dyDescent="0.3"/>
    <row r="755" ht="15.7" customHeight="1" x14ac:dyDescent="0.3"/>
    <row r="756" ht="15.7" customHeight="1" x14ac:dyDescent="0.3"/>
    <row r="757" ht="15.7" customHeight="1" x14ac:dyDescent="0.3"/>
    <row r="758" ht="15.7" customHeight="1" x14ac:dyDescent="0.3"/>
    <row r="759" ht="15.7" customHeight="1" x14ac:dyDescent="0.3"/>
    <row r="760" ht="15.7" customHeight="1" x14ac:dyDescent="0.3"/>
    <row r="761" ht="15.7" customHeight="1" x14ac:dyDescent="0.3"/>
    <row r="762" ht="15.7" customHeight="1" x14ac:dyDescent="0.3"/>
    <row r="763" ht="15.7" customHeight="1" x14ac:dyDescent="0.3"/>
    <row r="764" ht="15.7" customHeight="1" x14ac:dyDescent="0.3"/>
    <row r="765" ht="15.7" customHeight="1" x14ac:dyDescent="0.3"/>
    <row r="766" ht="15.7" customHeight="1" x14ac:dyDescent="0.3"/>
    <row r="767" ht="15.7" customHeight="1" x14ac:dyDescent="0.3"/>
    <row r="768" ht="15.7" customHeight="1" x14ac:dyDescent="0.3"/>
    <row r="769" ht="15.7" customHeight="1" x14ac:dyDescent="0.3"/>
    <row r="770" ht="15.7" customHeight="1" x14ac:dyDescent="0.3"/>
    <row r="771" ht="15.7" customHeight="1" x14ac:dyDescent="0.3"/>
    <row r="772" ht="15.7" customHeight="1" x14ac:dyDescent="0.3"/>
    <row r="773" ht="15.7" customHeight="1" x14ac:dyDescent="0.3"/>
    <row r="774" ht="15.7" customHeight="1" x14ac:dyDescent="0.3"/>
    <row r="775" ht="15.7" customHeight="1" x14ac:dyDescent="0.3"/>
    <row r="776" ht="15.7" customHeight="1" x14ac:dyDescent="0.3"/>
    <row r="777" ht="15.7" customHeight="1" x14ac:dyDescent="0.3"/>
    <row r="778" ht="15.7" customHeight="1" x14ac:dyDescent="0.3"/>
    <row r="779" ht="15.7" customHeight="1" x14ac:dyDescent="0.3"/>
    <row r="780" ht="15.7" customHeight="1" x14ac:dyDescent="0.3"/>
    <row r="781" ht="15.7" customHeight="1" x14ac:dyDescent="0.3"/>
    <row r="782" ht="15.7" customHeight="1" x14ac:dyDescent="0.3"/>
    <row r="783" ht="15.7" customHeight="1" x14ac:dyDescent="0.3"/>
    <row r="784" ht="15.7" customHeight="1" x14ac:dyDescent="0.3"/>
    <row r="785" ht="15.7" customHeight="1" x14ac:dyDescent="0.3"/>
    <row r="786" ht="15.7" customHeight="1" x14ac:dyDescent="0.3"/>
    <row r="787" ht="15.7" customHeight="1" x14ac:dyDescent="0.3"/>
    <row r="788" ht="15.7" customHeight="1" x14ac:dyDescent="0.3"/>
    <row r="789" ht="15.7" customHeight="1" x14ac:dyDescent="0.3"/>
    <row r="790" ht="15.7" customHeight="1" x14ac:dyDescent="0.3"/>
    <row r="791" ht="15.7" customHeight="1" x14ac:dyDescent="0.3"/>
    <row r="792" ht="15.7" customHeight="1" x14ac:dyDescent="0.3"/>
    <row r="793" ht="15.7" customHeight="1" x14ac:dyDescent="0.3"/>
    <row r="794" ht="15.7" customHeight="1" x14ac:dyDescent="0.3"/>
    <row r="795" ht="15.7" customHeight="1" x14ac:dyDescent="0.3"/>
    <row r="796" ht="15.7" customHeight="1" x14ac:dyDescent="0.3"/>
    <row r="797" ht="15.7" customHeight="1" x14ac:dyDescent="0.3"/>
    <row r="798" ht="15.7" customHeight="1" x14ac:dyDescent="0.3"/>
    <row r="799" ht="15.7" customHeight="1" x14ac:dyDescent="0.3"/>
    <row r="800" ht="15.7" customHeight="1" x14ac:dyDescent="0.3"/>
    <row r="801" ht="15.7" customHeight="1" x14ac:dyDescent="0.3"/>
    <row r="802" ht="15.7" customHeight="1" x14ac:dyDescent="0.3"/>
    <row r="803" ht="15.7" customHeight="1" x14ac:dyDescent="0.3"/>
    <row r="804" ht="15.7" customHeight="1" x14ac:dyDescent="0.3"/>
    <row r="805" ht="15.7" customHeight="1" x14ac:dyDescent="0.3"/>
    <row r="806" ht="15.7" customHeight="1" x14ac:dyDescent="0.3"/>
    <row r="807" ht="15.7" customHeight="1" x14ac:dyDescent="0.3"/>
    <row r="808" ht="15.7" customHeight="1" x14ac:dyDescent="0.3"/>
    <row r="809" ht="15.7" customHeight="1" x14ac:dyDescent="0.3"/>
    <row r="810" ht="15.7" customHeight="1" x14ac:dyDescent="0.3"/>
    <row r="811" ht="15.7" customHeight="1" x14ac:dyDescent="0.3"/>
    <row r="812" ht="15.7" customHeight="1" x14ac:dyDescent="0.3"/>
    <row r="813" ht="15.7" customHeight="1" x14ac:dyDescent="0.3"/>
    <row r="814" ht="15.7" customHeight="1" x14ac:dyDescent="0.3"/>
    <row r="815" ht="15.7" customHeight="1" x14ac:dyDescent="0.3"/>
    <row r="816" ht="15.7" customHeight="1" x14ac:dyDescent="0.3"/>
    <row r="817" ht="15.7" customHeight="1" x14ac:dyDescent="0.3"/>
    <row r="818" ht="15.7" customHeight="1" x14ac:dyDescent="0.3"/>
    <row r="819" ht="15.7" customHeight="1" x14ac:dyDescent="0.3"/>
    <row r="820" ht="15.7" customHeight="1" x14ac:dyDescent="0.3"/>
    <row r="821" ht="15.7" customHeight="1" x14ac:dyDescent="0.3"/>
    <row r="822" ht="15.7" customHeight="1" x14ac:dyDescent="0.3"/>
    <row r="823" ht="15.7" customHeight="1" x14ac:dyDescent="0.3"/>
    <row r="824" ht="15.7" customHeight="1" x14ac:dyDescent="0.3"/>
    <row r="825" ht="15.7" customHeight="1" x14ac:dyDescent="0.3"/>
    <row r="826" ht="15.7" customHeight="1" x14ac:dyDescent="0.3"/>
    <row r="827" ht="15.7" customHeight="1" x14ac:dyDescent="0.3"/>
    <row r="828" ht="15.7" customHeight="1" x14ac:dyDescent="0.3"/>
    <row r="829" ht="15.7" customHeight="1" x14ac:dyDescent="0.3"/>
    <row r="830" ht="15.7" customHeight="1" x14ac:dyDescent="0.3"/>
    <row r="831" ht="15.7" customHeight="1" x14ac:dyDescent="0.3"/>
    <row r="832" ht="15.7" customHeight="1" x14ac:dyDescent="0.3"/>
    <row r="833" ht="15.7" customHeight="1" x14ac:dyDescent="0.3"/>
    <row r="834" ht="15.7" customHeight="1" x14ac:dyDescent="0.3"/>
    <row r="835" ht="15.7" customHeight="1" x14ac:dyDescent="0.3"/>
    <row r="836" ht="15.7" customHeight="1" x14ac:dyDescent="0.3"/>
    <row r="837" ht="15.7" customHeight="1" x14ac:dyDescent="0.3"/>
    <row r="838" ht="15.7" customHeight="1" x14ac:dyDescent="0.3"/>
    <row r="839" ht="15.7" customHeight="1" x14ac:dyDescent="0.3"/>
    <row r="840" ht="15.7" customHeight="1" x14ac:dyDescent="0.3"/>
    <row r="841" ht="15.7" customHeight="1" x14ac:dyDescent="0.3"/>
    <row r="842" ht="15.7" customHeight="1" x14ac:dyDescent="0.3"/>
    <row r="843" ht="15.7" customHeight="1" x14ac:dyDescent="0.3"/>
    <row r="844" ht="15.7" customHeight="1" x14ac:dyDescent="0.3"/>
    <row r="845" ht="15.7" customHeight="1" x14ac:dyDescent="0.3"/>
    <row r="846" ht="15.7" customHeight="1" x14ac:dyDescent="0.3"/>
    <row r="847" ht="15.7" customHeight="1" x14ac:dyDescent="0.3"/>
    <row r="848" ht="15.7" customHeight="1" x14ac:dyDescent="0.3"/>
    <row r="849" ht="15.7" customHeight="1" x14ac:dyDescent="0.3"/>
    <row r="850" ht="15.7" customHeight="1" x14ac:dyDescent="0.3"/>
    <row r="851" ht="15.7" customHeight="1" x14ac:dyDescent="0.3"/>
    <row r="852" ht="15.7" customHeight="1" x14ac:dyDescent="0.3"/>
    <row r="853" ht="15.7" customHeight="1" x14ac:dyDescent="0.3"/>
    <row r="854" ht="15.7" customHeight="1" x14ac:dyDescent="0.3"/>
    <row r="855" ht="15.7" customHeight="1" x14ac:dyDescent="0.3"/>
    <row r="856" ht="15.7" customHeight="1" x14ac:dyDescent="0.3"/>
    <row r="857" ht="15.7" customHeight="1" x14ac:dyDescent="0.3"/>
    <row r="858" ht="15.7" customHeight="1" x14ac:dyDescent="0.3"/>
    <row r="859" ht="15.7" customHeight="1" x14ac:dyDescent="0.3"/>
    <row r="860" ht="15.7" customHeight="1" x14ac:dyDescent="0.3"/>
    <row r="861" ht="15.7" customHeight="1" x14ac:dyDescent="0.3"/>
    <row r="862" ht="15.7" customHeight="1" x14ac:dyDescent="0.3"/>
    <row r="863" ht="15.7" customHeight="1" x14ac:dyDescent="0.3"/>
    <row r="864" ht="15.7" customHeight="1" x14ac:dyDescent="0.3"/>
    <row r="865" ht="15.7" customHeight="1" x14ac:dyDescent="0.3"/>
    <row r="866" ht="15.7" customHeight="1" x14ac:dyDescent="0.3"/>
    <row r="867" ht="15.7" customHeight="1" x14ac:dyDescent="0.3"/>
    <row r="868" ht="15.7" customHeight="1" x14ac:dyDescent="0.3"/>
    <row r="869" ht="15.7" customHeight="1" x14ac:dyDescent="0.3"/>
    <row r="870" ht="15.7" customHeight="1" x14ac:dyDescent="0.3"/>
    <row r="871" ht="15.7" customHeight="1" x14ac:dyDescent="0.3"/>
    <row r="872" ht="15.7" customHeight="1" x14ac:dyDescent="0.3"/>
    <row r="873" ht="15.7" customHeight="1" x14ac:dyDescent="0.3"/>
    <row r="874" ht="15.7" customHeight="1" x14ac:dyDescent="0.3"/>
    <row r="875" ht="15.7" customHeight="1" x14ac:dyDescent="0.3"/>
    <row r="876" ht="15.7" customHeight="1" x14ac:dyDescent="0.3"/>
    <row r="877" ht="15.7" customHeight="1" x14ac:dyDescent="0.3"/>
    <row r="878" ht="15.7" customHeight="1" x14ac:dyDescent="0.3"/>
    <row r="879" ht="15.7" customHeight="1" x14ac:dyDescent="0.3"/>
    <row r="880" ht="15.7" customHeight="1" x14ac:dyDescent="0.3"/>
    <row r="881" ht="15.7" customHeight="1" x14ac:dyDescent="0.3"/>
    <row r="882" ht="15.7" customHeight="1" x14ac:dyDescent="0.3"/>
    <row r="883" ht="15.7" customHeight="1" x14ac:dyDescent="0.3"/>
    <row r="884" ht="15.7" customHeight="1" x14ac:dyDescent="0.3"/>
    <row r="885" ht="15.7" customHeight="1" x14ac:dyDescent="0.3"/>
    <row r="886" ht="15.7" customHeight="1" x14ac:dyDescent="0.3"/>
    <row r="887" ht="15.7" customHeight="1" x14ac:dyDescent="0.3"/>
    <row r="888" ht="15.7" customHeight="1" x14ac:dyDescent="0.3"/>
    <row r="889" ht="15.7" customHeight="1" x14ac:dyDescent="0.3"/>
    <row r="890" ht="15.7" customHeight="1" x14ac:dyDescent="0.3"/>
    <row r="891" ht="15.7" customHeight="1" x14ac:dyDescent="0.3"/>
    <row r="892" ht="15.7" customHeight="1" x14ac:dyDescent="0.3"/>
    <row r="893" ht="15.7" customHeight="1" x14ac:dyDescent="0.3"/>
    <row r="894" ht="15.7" customHeight="1" x14ac:dyDescent="0.3"/>
    <row r="895" ht="15.7" customHeight="1" x14ac:dyDescent="0.3"/>
    <row r="896" ht="15.7" customHeight="1" x14ac:dyDescent="0.3"/>
    <row r="897" ht="15.7" customHeight="1" x14ac:dyDescent="0.3"/>
    <row r="898" ht="15.7" customHeight="1" x14ac:dyDescent="0.3"/>
    <row r="899" ht="15.7" customHeight="1" x14ac:dyDescent="0.3"/>
    <row r="900" ht="15.7" customHeight="1" x14ac:dyDescent="0.3"/>
    <row r="901" ht="15.7" customHeight="1" x14ac:dyDescent="0.3"/>
    <row r="902" ht="15.7" customHeight="1" x14ac:dyDescent="0.3"/>
    <row r="903" ht="15.7" customHeight="1" x14ac:dyDescent="0.3"/>
    <row r="904" ht="15.7" customHeight="1" x14ac:dyDescent="0.3"/>
    <row r="905" ht="15.7" customHeight="1" x14ac:dyDescent="0.3"/>
    <row r="906" ht="15.7" customHeight="1" x14ac:dyDescent="0.3"/>
    <row r="907" ht="15.7" customHeight="1" x14ac:dyDescent="0.3"/>
    <row r="908" ht="15.7" customHeight="1" x14ac:dyDescent="0.3"/>
    <row r="909" ht="15.7" customHeight="1" x14ac:dyDescent="0.3"/>
    <row r="910" ht="15.7" customHeight="1" x14ac:dyDescent="0.3"/>
    <row r="911" ht="15.7" customHeight="1" x14ac:dyDescent="0.3"/>
    <row r="912" ht="15.7" customHeight="1" x14ac:dyDescent="0.3"/>
    <row r="913" ht="15.7" customHeight="1" x14ac:dyDescent="0.3"/>
    <row r="914" ht="15.7" customHeight="1" x14ac:dyDescent="0.3"/>
    <row r="915" ht="15.7" customHeight="1" x14ac:dyDescent="0.3"/>
    <row r="916" ht="15.7" customHeight="1" x14ac:dyDescent="0.3"/>
    <row r="917" ht="15.7" customHeight="1" x14ac:dyDescent="0.3"/>
    <row r="918" ht="15.7" customHeight="1" x14ac:dyDescent="0.3"/>
    <row r="919" ht="15.7" customHeight="1" x14ac:dyDescent="0.3"/>
    <row r="920" ht="15.7" customHeight="1" x14ac:dyDescent="0.3"/>
    <row r="921" ht="15.7" customHeight="1" x14ac:dyDescent="0.3"/>
    <row r="922" ht="15.7" customHeight="1" x14ac:dyDescent="0.3"/>
    <row r="923" ht="15.7" customHeight="1" x14ac:dyDescent="0.3"/>
    <row r="924" ht="15.7" customHeight="1" x14ac:dyDescent="0.3"/>
    <row r="925" ht="15.7" customHeight="1" x14ac:dyDescent="0.3"/>
    <row r="926" ht="15.7" customHeight="1" x14ac:dyDescent="0.3"/>
    <row r="927" ht="15.7" customHeight="1" x14ac:dyDescent="0.3"/>
    <row r="928" ht="15.7" customHeight="1" x14ac:dyDescent="0.3"/>
    <row r="929" ht="15.7" customHeight="1" x14ac:dyDescent="0.3"/>
    <row r="930" ht="15.7" customHeight="1" x14ac:dyDescent="0.3"/>
    <row r="931" ht="15.7" customHeight="1" x14ac:dyDescent="0.3"/>
    <row r="932" ht="15.7" customHeight="1" x14ac:dyDescent="0.3"/>
    <row r="933" ht="15.7" customHeight="1" x14ac:dyDescent="0.3"/>
    <row r="934" ht="15.7" customHeight="1" x14ac:dyDescent="0.3"/>
    <row r="935" ht="15.7" customHeight="1" x14ac:dyDescent="0.3"/>
    <row r="936" ht="15.7" customHeight="1" x14ac:dyDescent="0.3"/>
    <row r="937" ht="15.7" customHeight="1" x14ac:dyDescent="0.3"/>
    <row r="938" ht="15.7" customHeight="1" x14ac:dyDescent="0.3"/>
    <row r="939" ht="15.7" customHeight="1" x14ac:dyDescent="0.3"/>
    <row r="940" ht="15.7" customHeight="1" x14ac:dyDescent="0.3"/>
    <row r="941" ht="15.7" customHeight="1" x14ac:dyDescent="0.3"/>
    <row r="942" ht="15.7" customHeight="1" x14ac:dyDescent="0.3"/>
    <row r="943" ht="15.7" customHeight="1" x14ac:dyDescent="0.3"/>
    <row r="944" ht="15.7" customHeight="1" x14ac:dyDescent="0.3"/>
    <row r="945" ht="15.7" customHeight="1" x14ac:dyDescent="0.3"/>
    <row r="946" ht="15.7" customHeight="1" x14ac:dyDescent="0.3"/>
    <row r="947" ht="15.7" customHeight="1" x14ac:dyDescent="0.3"/>
    <row r="948" ht="15.7" customHeight="1" x14ac:dyDescent="0.3"/>
    <row r="949" ht="15.7" customHeight="1" x14ac:dyDescent="0.3"/>
    <row r="950" ht="15.7" customHeight="1" x14ac:dyDescent="0.3"/>
    <row r="951" ht="15.7" customHeight="1" x14ac:dyDescent="0.3"/>
    <row r="952" ht="15.7" customHeight="1" x14ac:dyDescent="0.3"/>
    <row r="953" ht="15.7" customHeight="1" x14ac:dyDescent="0.3"/>
    <row r="954" ht="15.7" customHeight="1" x14ac:dyDescent="0.3"/>
    <row r="955" ht="15.7" customHeight="1" x14ac:dyDescent="0.3"/>
    <row r="956" ht="15.7" customHeight="1" x14ac:dyDescent="0.3"/>
    <row r="957" ht="15.7" customHeight="1" x14ac:dyDescent="0.3"/>
    <row r="958" ht="15.7" customHeight="1" x14ac:dyDescent="0.3"/>
    <row r="959" ht="15.7" customHeight="1" x14ac:dyDescent="0.3"/>
    <row r="960" ht="15.7" customHeight="1" x14ac:dyDescent="0.3"/>
    <row r="961" ht="15.7" customHeight="1" x14ac:dyDescent="0.3"/>
    <row r="962" ht="15.7" customHeight="1" x14ac:dyDescent="0.3"/>
    <row r="963" ht="15.7" customHeight="1" x14ac:dyDescent="0.3"/>
    <row r="964" ht="15.7" customHeight="1" x14ac:dyDescent="0.3"/>
    <row r="965" ht="15.7" customHeight="1" x14ac:dyDescent="0.3"/>
    <row r="966" ht="15.7" customHeight="1" x14ac:dyDescent="0.3"/>
    <row r="967" ht="15.7" customHeight="1" x14ac:dyDescent="0.3"/>
    <row r="968" ht="15.7" customHeight="1" x14ac:dyDescent="0.3"/>
    <row r="969" ht="15.7" customHeight="1" x14ac:dyDescent="0.3"/>
    <row r="970" ht="15.7" customHeight="1" x14ac:dyDescent="0.3"/>
    <row r="971" ht="15.7" customHeight="1" x14ac:dyDescent="0.3"/>
    <row r="972" ht="15.7" customHeight="1" x14ac:dyDescent="0.3"/>
    <row r="973" ht="15.7" customHeight="1" x14ac:dyDescent="0.3"/>
    <row r="974" ht="15.7" customHeight="1" x14ac:dyDescent="0.3"/>
    <row r="975" ht="15.7" customHeight="1" x14ac:dyDescent="0.3"/>
    <row r="976" ht="15.7" customHeight="1" x14ac:dyDescent="0.3"/>
    <row r="977" ht="15.7" customHeight="1" x14ac:dyDescent="0.3"/>
    <row r="978" ht="15.7" customHeight="1" x14ac:dyDescent="0.3"/>
    <row r="979" ht="15.7" customHeight="1" x14ac:dyDescent="0.3"/>
    <row r="980" ht="15.7" customHeight="1" x14ac:dyDescent="0.3"/>
    <row r="981" ht="15.7" customHeight="1" x14ac:dyDescent="0.3"/>
    <row r="982" ht="15.7" customHeight="1" x14ac:dyDescent="0.3"/>
    <row r="983" ht="15.7" customHeight="1" x14ac:dyDescent="0.3"/>
    <row r="984" ht="15.7" customHeight="1" x14ac:dyDescent="0.3"/>
    <row r="985" ht="15.7" customHeight="1" x14ac:dyDescent="0.3"/>
    <row r="986" ht="15.7" customHeight="1" x14ac:dyDescent="0.3"/>
    <row r="987" ht="15.7" customHeight="1" x14ac:dyDescent="0.3"/>
    <row r="988" ht="15.7" customHeight="1" x14ac:dyDescent="0.3"/>
    <row r="989" ht="15.7" customHeight="1" x14ac:dyDescent="0.3"/>
    <row r="990" ht="15.7" customHeight="1" x14ac:dyDescent="0.3"/>
    <row r="991" ht="15.7" customHeight="1" x14ac:dyDescent="0.3"/>
    <row r="992" ht="15.7" customHeight="1" x14ac:dyDescent="0.3"/>
    <row r="993" ht="15.7" customHeight="1" x14ac:dyDescent="0.3"/>
    <row r="994" ht="15.7" customHeight="1" x14ac:dyDescent="0.3"/>
    <row r="995" ht="15.7" customHeight="1" x14ac:dyDescent="0.3"/>
    <row r="996" ht="15.7" customHeight="1" x14ac:dyDescent="0.3"/>
    <row r="997" ht="15.7" customHeight="1" x14ac:dyDescent="0.3"/>
    <row r="998" ht="15.7" customHeight="1" x14ac:dyDescent="0.3"/>
    <row r="999" ht="15.7" customHeight="1" x14ac:dyDescent="0.3"/>
    <row r="1000" ht="15.7" customHeight="1" x14ac:dyDescent="0.3"/>
    <row r="1001" ht="15.7" customHeight="1" x14ac:dyDescent="0.3"/>
    <row r="1002" ht="15.7" customHeight="1" x14ac:dyDescent="0.3"/>
    <row r="1003" ht="15.7" customHeight="1" x14ac:dyDescent="0.3"/>
    <row r="1004" ht="15.7" customHeight="1" x14ac:dyDescent="0.3"/>
    <row r="1005" ht="15.7" customHeight="1" x14ac:dyDescent="0.3"/>
    <row r="1006" ht="15.7" customHeight="1" x14ac:dyDescent="0.3"/>
    <row r="1007" ht="15.7" customHeight="1" x14ac:dyDescent="0.3"/>
    <row r="1008" ht="15.7" customHeight="1" x14ac:dyDescent="0.3"/>
    <row r="1009" ht="15.7" customHeight="1" x14ac:dyDescent="0.3"/>
    <row r="1010" ht="15.7" customHeight="1" x14ac:dyDescent="0.3"/>
    <row r="1011" ht="15.7" customHeight="1" x14ac:dyDescent="0.3"/>
    <row r="1012" ht="15.7" customHeight="1" x14ac:dyDescent="0.3"/>
    <row r="1013" ht="15.7" customHeight="1" x14ac:dyDescent="0.3"/>
    <row r="1014" ht="15.7" customHeight="1" x14ac:dyDescent="0.3"/>
    <row r="1015" ht="15.7" customHeight="1" x14ac:dyDescent="0.3"/>
    <row r="1016" ht="15.7" customHeight="1" x14ac:dyDescent="0.3"/>
    <row r="1017" ht="15.7" customHeight="1" x14ac:dyDescent="0.3"/>
    <row r="1018" ht="15.7" customHeight="1" x14ac:dyDescent="0.3"/>
    <row r="1019" ht="15.7" customHeight="1" x14ac:dyDescent="0.3"/>
    <row r="1020" ht="15.7" customHeight="1" x14ac:dyDescent="0.3"/>
    <row r="1021" ht="15.7" customHeight="1" x14ac:dyDescent="0.3"/>
    <row r="1022" ht="15.7" customHeight="1" x14ac:dyDescent="0.3"/>
    <row r="1023" ht="15.7" customHeight="1" x14ac:dyDescent="0.3"/>
    <row r="1024" ht="15.7" customHeight="1" x14ac:dyDescent="0.3"/>
    <row r="1025" ht="15.7" customHeight="1" x14ac:dyDescent="0.3"/>
    <row r="1026" ht="15.7" customHeight="1" x14ac:dyDescent="0.3"/>
    <row r="1027" ht="15.7" customHeight="1" x14ac:dyDescent="0.3"/>
  </sheetData>
  <mergeCells count="4">
    <mergeCell ref="B2:I2"/>
    <mergeCell ref="F8:H8"/>
    <mergeCell ref="C9:D9"/>
    <mergeCell ref="C53:D53"/>
  </mergeCells>
  <pageMargins left="0.7" right="0.7" top="0.75" bottom="0.75" header="0.3" footer="0.3"/>
  <pageSetup paperSize="25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Paginación</vt:lpstr>
      <vt:lpstr>BD</vt:lpstr>
      <vt:lpstr>Landing</vt:lpstr>
      <vt:lpstr>Login</vt:lpstr>
      <vt:lpstr>Cierre de sesión</vt:lpstr>
      <vt:lpstr>Recuperar Contraseña</vt:lpstr>
      <vt:lpstr>Cambiar Contraseña</vt:lpstr>
      <vt:lpstr>Dashboard ADMIN</vt:lpstr>
      <vt:lpstr>Dashboard PEDIDOS</vt:lpstr>
      <vt:lpstr>Dashboard PRODUCTOS</vt:lpstr>
      <vt:lpstr>Dashboard VENDEDORES</vt:lpstr>
      <vt:lpstr>Dashboard COMISIONES</vt:lpstr>
      <vt:lpstr>Dashboard REPORTES</vt:lpstr>
      <vt:lpstr>Dashboard CONFIG</vt:lpstr>
      <vt:lpstr>Vendedor INICIO</vt:lpstr>
      <vt:lpstr>Vendedor PRODUCTOS</vt:lpstr>
      <vt:lpstr>Vendedor NUEVO PEDIDO</vt:lpstr>
      <vt:lpstr>Vendedor MIS PEDIDOS</vt:lpstr>
      <vt:lpstr>Vendedor COMISIONES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Valenzuela</dc:creator>
  <cp:lastModifiedBy>Nicolas Valenzuela Ascanio</cp:lastModifiedBy>
  <dcterms:created xsi:type="dcterms:W3CDTF">2026-04-25T15:36:23Z</dcterms:created>
  <dcterms:modified xsi:type="dcterms:W3CDTF">2026-04-29T23:49:38Z</dcterms:modified>
</cp:coreProperties>
</file>